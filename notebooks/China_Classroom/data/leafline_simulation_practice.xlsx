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  <sheet name="Sim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CE9F9"/>
      </patternFill>
    </fill>
    <fill>
      <patternFill patternType="solid">
        <fgColor rgb="00FBE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2" borderId="0" pivotButton="0" quotePrefix="0" xfId="0"/>
    <xf numFmtId="3" fontId="0" fillId="0" borderId="0" pivotButton="0" quotePrefix="0" xfId="0"/>
    <xf numFmtId="4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2" fillId="3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wrapText="1"/>
    </xf>
    <xf numFmtId="4" fontId="0" fillId="0" borderId="0" pivotButton="0" quotePrefix="0" xfId="0"/>
    <xf numFmtId="0" fontId="3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LeafLine Tea new branch: practice workbook for the Day 5 lecture</t>
        </is>
      </c>
    </row>
    <row r="2">
      <c r="A2" t="inlineStr">
        <is>
          <t>Synthetic case made for the DATA 300 China classroom. Amounts are in currency units.</t>
        </is>
      </c>
    </row>
    <row r="3">
      <c r="A3" t="inlineStr"/>
    </row>
    <row r="4">
      <c r="A4" s="2" t="inlineStr">
        <is>
          <t>Sheets</t>
        </is>
      </c>
    </row>
    <row r="5">
      <c r="A5" t="inlineStr">
        <is>
          <t>Model: the base (deterministic) year-1 profit model. Blue cells are inputs; orange cells are key outputs.</t>
        </is>
      </c>
    </row>
    <row r="6">
      <c r="A6" t="inlineStr">
        <is>
          <t>Model, rows 16-24: a frame for a two-way Data Table (you create the table yourself, steps below).</t>
        </is>
      </c>
    </row>
    <row r="7">
      <c r="A7" t="inlineStr">
        <is>
          <t>Simulation: 1,000 Monte Carlo trials with RAND() and NORM.INV(), and a risk summary.</t>
        </is>
      </c>
    </row>
    <row r="8">
      <c r="A8" t="inlineStr"/>
    </row>
    <row r="9">
      <c r="A9" s="2" t="inlineStr">
        <is>
          <t>Exercise 1: two-way Data Table (profit by demand and price)</t>
        </is>
      </c>
    </row>
    <row r="10">
      <c r="A10" t="inlineStr">
        <is>
          <t>1. On the Model sheet, select B17:G24 (the corner formula, the prices across and the demands down).</t>
        </is>
      </c>
    </row>
    <row r="11">
      <c r="A11" t="inlineStr">
        <is>
          <t>2. Data &gt; What-If Analysis &gt; Data Table.</t>
        </is>
      </c>
    </row>
    <row r="12">
      <c r="A12" t="inlineStr">
        <is>
          <t>3. Row input cell: B5 (price). Column input cell: B4 (demand). Click OK.</t>
        </is>
      </c>
    </row>
    <row r="13">
      <c r="A13" t="inlineStr">
        <is>
          <t>4. Select C18:G24 and add Home &gt; Conditional Formatting &gt; Color Scales.</t>
        </is>
      </c>
    </row>
    <row r="14">
      <c r="A14" t="inlineStr">
        <is>
          <t>Note: the input cells must be on the same sheet as the Data Table.</t>
        </is>
      </c>
    </row>
    <row r="15">
      <c r="A15" t="inlineStr"/>
    </row>
    <row r="16">
      <c r="A16" s="2" t="inlineStr">
        <is>
          <t>Exercise 2: Goal Seek for break-even demand</t>
        </is>
      </c>
    </row>
    <row r="17">
      <c r="A17" t="inlineStr">
        <is>
          <t>1. Data &gt; What-If Analysis &gt; Goal Seek. Set cell: E7. To value: 0. By changing cell: B4.</t>
        </is>
      </c>
    </row>
    <row r="18">
      <c r="A18" t="inlineStr">
        <is>
          <t>2. Compare the answer with the break-even formula in E8, then press Cancel or Ctrl+Z to restore B4.</t>
        </is>
      </c>
    </row>
    <row r="19">
      <c r="A19" t="inlineStr"/>
    </row>
    <row r="20">
      <c r="A20" s="2" t="inlineStr">
        <is>
          <t>Exercise 3: Monte Carlo simulation</t>
        </is>
      </c>
    </row>
    <row r="21">
      <c r="A21" t="inlineStr">
        <is>
          <t>1. On the Simulation sheet, press F9 a few times and watch the summary in column H change.</t>
        </is>
      </c>
    </row>
    <row r="22">
      <c r="A22" t="inlineStr">
        <is>
          <t>2. Insert a histogram of E2:E1001: select the range, Insert &gt; Charts &gt; Histogram.</t>
        </is>
      </c>
    </row>
    <row r="23">
      <c r="A23" t="inlineStr">
        <is>
          <t>3. Change Model!B11 (demand standard deviation) to 20000. What happens to the probability of a loss?</t>
        </is>
      </c>
    </row>
    <row r="24">
      <c r="A24" t="inlineStr">
        <is>
          <t>4. To freeze one set of results: copy A1:E1001, then Paste Special &gt; Values on a new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40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LeafLine Tea: new branch, year-1 profit model</t>
        </is>
      </c>
    </row>
    <row r="3">
      <c r="A3" s="2" t="inlineStr">
        <is>
          <t>Inputs (blue cells: change these)</t>
        </is>
      </c>
      <c r="D3" s="2" t="inlineStr">
        <is>
          <t>Outputs</t>
        </is>
      </c>
    </row>
    <row r="4">
      <c r="A4" t="inlineStr">
        <is>
          <t>Expected cups sold per year (demand)</t>
        </is>
      </c>
      <c r="B4" s="3" t="n">
        <v>60000</v>
      </c>
      <c r="D4" t="inlineStr">
        <is>
          <t>Cups sold (demand, limited by capacity)</t>
        </is>
      </c>
      <c r="E4" s="4">
        <f>MIN(B4,B8)</f>
        <v/>
      </c>
    </row>
    <row r="5">
      <c r="A5" t="inlineStr">
        <is>
          <t>Price per cup</t>
        </is>
      </c>
      <c r="B5" s="5" t="n">
        <v>18</v>
      </c>
      <c r="D5" t="inlineStr">
        <is>
          <t>Revenue</t>
        </is>
      </c>
      <c r="E5" s="6">
        <f>E4*B5</f>
        <v/>
      </c>
    </row>
    <row r="6">
      <c r="A6" t="inlineStr">
        <is>
          <t>Variable cost per cup</t>
        </is>
      </c>
      <c r="B6" s="5" t="n">
        <v>7.5</v>
      </c>
      <c r="D6" t="inlineStr">
        <is>
          <t>Variable costs</t>
        </is>
      </c>
      <c r="E6" s="6">
        <f>E4*B6</f>
        <v/>
      </c>
    </row>
    <row r="7">
      <c r="A7" t="inlineStr">
        <is>
          <t>Fixed costs per year</t>
        </is>
      </c>
      <c r="B7" s="7" t="n">
        <v>500000</v>
      </c>
      <c r="D7" t="inlineStr">
        <is>
          <t>Profit</t>
        </is>
      </c>
      <c r="E7" s="8">
        <f>E5-E6-B7</f>
        <v/>
      </c>
    </row>
    <row r="8">
      <c r="A8" t="inlineStr">
        <is>
          <t>Capacity (most cups the branch can make per year)</t>
        </is>
      </c>
      <c r="B8" s="3" t="n">
        <v>75000</v>
      </c>
      <c r="D8" t="inlineStr">
        <is>
          <t>Break-even demand (cups)</t>
        </is>
      </c>
      <c r="E8" s="4">
        <f>B7/(B5-B6)</f>
        <v/>
      </c>
    </row>
    <row r="10">
      <c r="A10" s="2" t="inlineStr">
        <is>
          <t>Uncertainty (used by the Simulation sheet)</t>
        </is>
      </c>
    </row>
    <row r="11">
      <c r="A11" t="inlineStr">
        <is>
          <t>Demand: standard deviation (normal distribution)</t>
        </is>
      </c>
      <c r="B11" s="3" t="n">
        <v>12000</v>
      </c>
    </row>
    <row r="12">
      <c r="A12" t="inlineStr">
        <is>
          <t>Variable cost per cup: lowest (uniform distribution)</t>
        </is>
      </c>
      <c r="B12" s="5" t="n">
        <v>6</v>
      </c>
    </row>
    <row r="13">
      <c r="A13" t="inlineStr">
        <is>
          <t>Variable cost per cup: highest (uniform distribution)</t>
        </is>
      </c>
      <c r="B13" s="5" t="n">
        <v>9</v>
      </c>
    </row>
    <row r="16">
      <c r="A16" s="2" t="inlineStr">
        <is>
          <t>Two-way Data Table: profit by demand (down) and price per cup (across)</t>
        </is>
      </c>
    </row>
    <row r="17">
      <c r="A17" t="inlineStr">
        <is>
          <t>Demand \ price</t>
        </is>
      </c>
      <c r="B17" s="6">
        <f>E7</f>
        <v/>
      </c>
      <c r="C17" s="9" t="n">
        <v>14</v>
      </c>
      <c r="D17" s="9" t="n">
        <v>16</v>
      </c>
      <c r="E17" s="9" t="n">
        <v>18</v>
      </c>
      <c r="F17" s="9" t="n">
        <v>20</v>
      </c>
      <c r="G17" s="9" t="n">
        <v>22</v>
      </c>
    </row>
    <row r="18">
      <c r="B18" s="10" t="n">
        <v>30000</v>
      </c>
    </row>
    <row r="19">
      <c r="B19" s="10" t="n">
        <v>40000</v>
      </c>
    </row>
    <row r="20">
      <c r="B20" s="10" t="n">
        <v>50000</v>
      </c>
    </row>
    <row r="21">
      <c r="B21" s="10" t="n">
        <v>60000</v>
      </c>
    </row>
    <row r="22">
      <c r="B22" s="10" t="n">
        <v>70000</v>
      </c>
    </row>
    <row r="23">
      <c r="B23" s="10" t="n">
        <v>80000</v>
      </c>
    </row>
    <row r="24">
      <c r="B24" s="10" t="n">
        <v>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38" customWidth="1" min="7" max="7"/>
    <col width="16" customWidth="1" min="8" max="8"/>
  </cols>
  <sheetData>
    <row r="1">
      <c r="A1" s="11" t="inlineStr">
        <is>
          <t>Trial</t>
        </is>
      </c>
      <c r="B1" s="11" t="inlineStr">
        <is>
          <t>Demand</t>
        </is>
      </c>
      <c r="C1" s="11" t="inlineStr">
        <is>
          <t>Variable cost per cup</t>
        </is>
      </c>
      <c r="D1" s="11" t="inlineStr">
        <is>
          <t>Cups sold</t>
        </is>
      </c>
      <c r="E1" s="11" t="inlineStr">
        <is>
          <t>Profit</t>
        </is>
      </c>
      <c r="G1" s="2" t="inlineStr">
        <is>
          <t>Risk summary</t>
        </is>
      </c>
    </row>
    <row r="2">
      <c r="A2" t="n">
        <v>1</v>
      </c>
      <c r="B2" s="4">
        <f>MAX(0,_xlfn.NORM.INV(RAND(),Model!$B$4,Model!$B$11))</f>
        <v/>
      </c>
      <c r="C2" s="12">
        <f>Model!$B$12+(Model!$B$13-Model!$B$12)*RAND()</f>
        <v/>
      </c>
      <c r="D2" s="4">
        <f>MIN(B2,Model!$B$8)</f>
        <v/>
      </c>
      <c r="E2" s="6">
        <f>D2*(Model!$B$5-C2)-Model!$B$7</f>
        <v/>
      </c>
      <c r="G2" s="13" t="inlineStr">
        <is>
          <t>Trials</t>
        </is>
      </c>
      <c r="H2" s="14">
        <f>COUNT(E2:E1001)</f>
        <v/>
      </c>
    </row>
    <row r="3">
      <c r="A3" t="n">
        <v>2</v>
      </c>
      <c r="B3" s="4">
        <f>MAX(0,_xlfn.NORM.INV(RAND(),Model!$B$4,Model!$B$11))</f>
        <v/>
      </c>
      <c r="C3" s="12">
        <f>Model!$B$12+(Model!$B$13-Model!$B$12)*RAND()</f>
        <v/>
      </c>
      <c r="D3" s="4">
        <f>MIN(B3,Model!$B$8)</f>
        <v/>
      </c>
      <c r="E3" s="6">
        <f>D3*(Model!$B$5-C3)-Model!$B$7</f>
        <v/>
      </c>
      <c r="G3" s="13" t="inlineStr">
        <is>
          <t>Average profit</t>
        </is>
      </c>
      <c r="H3" s="15">
        <f>AVERAGE(E2:E1001)</f>
        <v/>
      </c>
    </row>
    <row r="4">
      <c r="A4" t="n">
        <v>3</v>
      </c>
      <c r="B4" s="4">
        <f>MAX(0,_xlfn.NORM.INV(RAND(),Model!$B$4,Model!$B$11))</f>
        <v/>
      </c>
      <c r="C4" s="12">
        <f>Model!$B$12+(Model!$B$13-Model!$B$12)*RAND()</f>
        <v/>
      </c>
      <c r="D4" s="4">
        <f>MIN(B4,Model!$B$8)</f>
        <v/>
      </c>
      <c r="E4" s="6">
        <f>D4*(Model!$B$5-C4)-Model!$B$7</f>
        <v/>
      </c>
      <c r="G4" s="13" t="inlineStr">
        <is>
          <t>Standard deviation</t>
        </is>
      </c>
      <c r="H4" s="15">
        <f>_xlfn.STDEV.S(E2:E1001)</f>
        <v/>
      </c>
    </row>
    <row r="5">
      <c r="A5" t="n">
        <v>4</v>
      </c>
      <c r="B5" s="4">
        <f>MAX(0,_xlfn.NORM.INV(RAND(),Model!$B$4,Model!$B$11))</f>
        <v/>
      </c>
      <c r="C5" s="12">
        <f>Model!$B$12+(Model!$B$13-Model!$B$12)*RAND()</f>
        <v/>
      </c>
      <c r="D5" s="4">
        <f>MIN(B5,Model!$B$8)</f>
        <v/>
      </c>
      <c r="E5" s="6">
        <f>D5*(Model!$B$5-C5)-Model!$B$7</f>
        <v/>
      </c>
      <c r="G5" s="13" t="inlineStr">
        <is>
          <t>Minimum (worst trial)</t>
        </is>
      </c>
      <c r="H5" s="15">
        <f>MIN(E2:E1001)</f>
        <v/>
      </c>
    </row>
    <row r="6">
      <c r="A6" t="n">
        <v>5</v>
      </c>
      <c r="B6" s="4">
        <f>MAX(0,_xlfn.NORM.INV(RAND(),Model!$B$4,Model!$B$11))</f>
        <v/>
      </c>
      <c r="C6" s="12">
        <f>Model!$B$12+(Model!$B$13-Model!$B$12)*RAND()</f>
        <v/>
      </c>
      <c r="D6" s="4">
        <f>MIN(B6,Model!$B$8)</f>
        <v/>
      </c>
      <c r="E6" s="6">
        <f>D6*(Model!$B$5-C6)-Model!$B$7</f>
        <v/>
      </c>
      <c r="G6" s="13" t="inlineStr">
        <is>
          <t>Maximum (best trial)</t>
        </is>
      </c>
      <c r="H6" s="15">
        <f>MAX(E2:E1001)</f>
        <v/>
      </c>
    </row>
    <row r="7">
      <c r="A7" t="n">
        <v>6</v>
      </c>
      <c r="B7" s="4">
        <f>MAX(0,_xlfn.NORM.INV(RAND(),Model!$B$4,Model!$B$11))</f>
        <v/>
      </c>
      <c r="C7" s="12">
        <f>Model!$B$12+(Model!$B$13-Model!$B$12)*RAND()</f>
        <v/>
      </c>
      <c r="D7" s="4">
        <f>MIN(B7,Model!$B$8)</f>
        <v/>
      </c>
      <c r="E7" s="6">
        <f>D7*(Model!$B$5-C7)-Model!$B$7</f>
        <v/>
      </c>
      <c r="G7" s="13" t="inlineStr">
        <is>
          <t>Probability of a loss</t>
        </is>
      </c>
      <c r="H7" s="16">
        <f>COUNTIF(E2:E1001,"&lt;0")/H2</f>
        <v/>
      </c>
    </row>
    <row r="8">
      <c r="A8" t="n">
        <v>7</v>
      </c>
      <c r="B8" s="4">
        <f>MAX(0,_xlfn.NORM.INV(RAND(),Model!$B$4,Model!$B$11))</f>
        <v/>
      </c>
      <c r="C8" s="12">
        <f>Model!$B$12+(Model!$B$13-Model!$B$12)*RAND()</f>
        <v/>
      </c>
      <c r="D8" s="4">
        <f>MIN(B8,Model!$B$8)</f>
        <v/>
      </c>
      <c r="E8" s="6">
        <f>D8*(Model!$B$5-C8)-Model!$B$7</f>
        <v/>
      </c>
      <c r="G8" s="13" t="inlineStr">
        <is>
          <t>5th percentile (P5)</t>
        </is>
      </c>
      <c r="H8" s="15">
        <f>_xlfn.PERCENTILE.INC(E2:E1001,0.05)</f>
        <v/>
      </c>
    </row>
    <row r="9">
      <c r="A9" t="n">
        <v>8</v>
      </c>
      <c r="B9" s="4">
        <f>MAX(0,_xlfn.NORM.INV(RAND(),Model!$B$4,Model!$B$11))</f>
        <v/>
      </c>
      <c r="C9" s="12">
        <f>Model!$B$12+(Model!$B$13-Model!$B$12)*RAND()</f>
        <v/>
      </c>
      <c r="D9" s="4">
        <f>MIN(B9,Model!$B$8)</f>
        <v/>
      </c>
      <c r="E9" s="6">
        <f>D9*(Model!$B$5-C9)-Model!$B$7</f>
        <v/>
      </c>
      <c r="G9" s="13" t="inlineStr">
        <is>
          <t>95th percentile (P95)</t>
        </is>
      </c>
      <c r="H9" s="15">
        <f>_xlfn.PERCENTILE.INC(E2:E1001,0.95)</f>
        <v/>
      </c>
    </row>
    <row r="10">
      <c r="A10" t="n">
        <v>9</v>
      </c>
      <c r="B10" s="4">
        <f>MAX(0,_xlfn.NORM.INV(RAND(),Model!$B$4,Model!$B$11))</f>
        <v/>
      </c>
      <c r="C10" s="12">
        <f>Model!$B$12+(Model!$B$13-Model!$B$12)*RAND()</f>
        <v/>
      </c>
      <c r="D10" s="4">
        <f>MIN(B10,Model!$B$8)</f>
        <v/>
      </c>
      <c r="E10" s="6">
        <f>D10*(Model!$B$5-C10)-Model!$B$7</f>
        <v/>
      </c>
      <c r="G10" s="13" t="inlineStr">
        <is>
          <t>Average of the worst 5% of trials</t>
        </is>
      </c>
      <c r="H10" s="15">
        <f>AVERAGEIF(E2:E1001,"&lt;="&amp;H8)</f>
        <v/>
      </c>
    </row>
    <row r="11">
      <c r="A11" t="n">
        <v>10</v>
      </c>
      <c r="B11" s="4">
        <f>MAX(0,_xlfn.NORM.INV(RAND(),Model!$B$4,Model!$B$11))</f>
        <v/>
      </c>
      <c r="C11" s="12">
        <f>Model!$B$12+(Model!$B$13-Model!$B$12)*RAND()</f>
        <v/>
      </c>
      <c r="D11" s="4">
        <f>MIN(B11,Model!$B$8)</f>
        <v/>
      </c>
      <c r="E11" s="6">
        <f>D11*(Model!$B$5-C11)-Model!$B$7</f>
        <v/>
      </c>
      <c r="G11" s="13" t="inlineStr">
        <is>
          <t>Profit at average inputs (Model!E7)</t>
        </is>
      </c>
      <c r="H11" s="15">
        <f>Model!E7</f>
        <v/>
      </c>
    </row>
    <row r="12">
      <c r="A12" t="n">
        <v>11</v>
      </c>
      <c r="B12" s="4">
        <f>MAX(0,_xlfn.NORM.INV(RAND(),Model!$B$4,Model!$B$11))</f>
        <v/>
      </c>
      <c r="C12" s="12">
        <f>Model!$B$12+(Model!$B$13-Model!$B$12)*RAND()</f>
        <v/>
      </c>
      <c r="D12" s="4">
        <f>MIN(B12,Model!$B$8)</f>
        <v/>
      </c>
      <c r="E12" s="6">
        <f>D12*(Model!$B$5-C12)-Model!$B$7</f>
        <v/>
      </c>
    </row>
    <row r="13">
      <c r="A13" t="n">
        <v>12</v>
      </c>
      <c r="B13" s="4">
        <f>MAX(0,_xlfn.NORM.INV(RAND(),Model!$B$4,Model!$B$11))</f>
        <v/>
      </c>
      <c r="C13" s="12">
        <f>Model!$B$12+(Model!$B$13-Model!$B$12)*RAND()</f>
        <v/>
      </c>
      <c r="D13" s="4">
        <f>MIN(B13,Model!$B$8)</f>
        <v/>
      </c>
      <c r="E13" s="6">
        <f>D13*(Model!$B$5-C13)-Model!$B$7</f>
        <v/>
      </c>
    </row>
    <row r="14">
      <c r="A14" t="n">
        <v>13</v>
      </c>
      <c r="B14" s="4">
        <f>MAX(0,_xlfn.NORM.INV(RAND(),Model!$B$4,Model!$B$11))</f>
        <v/>
      </c>
      <c r="C14" s="12">
        <f>Model!$B$12+(Model!$B$13-Model!$B$12)*RAND()</f>
        <v/>
      </c>
      <c r="D14" s="4">
        <f>MIN(B14,Model!$B$8)</f>
        <v/>
      </c>
      <c r="E14" s="6">
        <f>D14*(Model!$B$5-C14)-Model!$B$7</f>
        <v/>
      </c>
    </row>
    <row r="15">
      <c r="A15" t="n">
        <v>14</v>
      </c>
      <c r="B15" s="4">
        <f>MAX(0,_xlfn.NORM.INV(RAND(),Model!$B$4,Model!$B$11))</f>
        <v/>
      </c>
      <c r="C15" s="12">
        <f>Model!$B$12+(Model!$B$13-Model!$B$12)*RAND()</f>
        <v/>
      </c>
      <c r="D15" s="4">
        <f>MIN(B15,Model!$B$8)</f>
        <v/>
      </c>
      <c r="E15" s="6">
        <f>D15*(Model!$B$5-C15)-Model!$B$7</f>
        <v/>
      </c>
    </row>
    <row r="16">
      <c r="A16" t="n">
        <v>15</v>
      </c>
      <c r="B16" s="4">
        <f>MAX(0,_xlfn.NORM.INV(RAND(),Model!$B$4,Model!$B$11))</f>
        <v/>
      </c>
      <c r="C16" s="12">
        <f>Model!$B$12+(Model!$B$13-Model!$B$12)*RAND()</f>
        <v/>
      </c>
      <c r="D16" s="4">
        <f>MIN(B16,Model!$B$8)</f>
        <v/>
      </c>
      <c r="E16" s="6">
        <f>D16*(Model!$B$5-C16)-Model!$B$7</f>
        <v/>
      </c>
    </row>
    <row r="17">
      <c r="A17" t="n">
        <v>16</v>
      </c>
      <c r="B17" s="4">
        <f>MAX(0,_xlfn.NORM.INV(RAND(),Model!$B$4,Model!$B$11))</f>
        <v/>
      </c>
      <c r="C17" s="12">
        <f>Model!$B$12+(Model!$B$13-Model!$B$12)*RAND()</f>
        <v/>
      </c>
      <c r="D17" s="4">
        <f>MIN(B17,Model!$B$8)</f>
        <v/>
      </c>
      <c r="E17" s="6">
        <f>D17*(Model!$B$5-C17)-Model!$B$7</f>
        <v/>
      </c>
    </row>
    <row r="18">
      <c r="A18" t="n">
        <v>17</v>
      </c>
      <c r="B18" s="4">
        <f>MAX(0,_xlfn.NORM.INV(RAND(),Model!$B$4,Model!$B$11))</f>
        <v/>
      </c>
      <c r="C18" s="12">
        <f>Model!$B$12+(Model!$B$13-Model!$B$12)*RAND()</f>
        <v/>
      </c>
      <c r="D18" s="4">
        <f>MIN(B18,Model!$B$8)</f>
        <v/>
      </c>
      <c r="E18" s="6">
        <f>D18*(Model!$B$5-C18)-Model!$B$7</f>
        <v/>
      </c>
    </row>
    <row r="19">
      <c r="A19" t="n">
        <v>18</v>
      </c>
      <c r="B19" s="4">
        <f>MAX(0,_xlfn.NORM.INV(RAND(),Model!$B$4,Model!$B$11))</f>
        <v/>
      </c>
      <c r="C19" s="12">
        <f>Model!$B$12+(Model!$B$13-Model!$B$12)*RAND()</f>
        <v/>
      </c>
      <c r="D19" s="4">
        <f>MIN(B19,Model!$B$8)</f>
        <v/>
      </c>
      <c r="E19" s="6">
        <f>D19*(Model!$B$5-C19)-Model!$B$7</f>
        <v/>
      </c>
    </row>
    <row r="20">
      <c r="A20" t="n">
        <v>19</v>
      </c>
      <c r="B20" s="4">
        <f>MAX(0,_xlfn.NORM.INV(RAND(),Model!$B$4,Model!$B$11))</f>
        <v/>
      </c>
      <c r="C20" s="12">
        <f>Model!$B$12+(Model!$B$13-Model!$B$12)*RAND()</f>
        <v/>
      </c>
      <c r="D20" s="4">
        <f>MIN(B20,Model!$B$8)</f>
        <v/>
      </c>
      <c r="E20" s="6">
        <f>D20*(Model!$B$5-C20)-Model!$B$7</f>
        <v/>
      </c>
    </row>
    <row r="21">
      <c r="A21" t="n">
        <v>20</v>
      </c>
      <c r="B21" s="4">
        <f>MAX(0,_xlfn.NORM.INV(RAND(),Model!$B$4,Model!$B$11))</f>
        <v/>
      </c>
      <c r="C21" s="12">
        <f>Model!$B$12+(Model!$B$13-Model!$B$12)*RAND()</f>
        <v/>
      </c>
      <c r="D21" s="4">
        <f>MIN(B21,Model!$B$8)</f>
        <v/>
      </c>
      <c r="E21" s="6">
        <f>D21*(Model!$B$5-C21)-Model!$B$7</f>
        <v/>
      </c>
    </row>
    <row r="22">
      <c r="A22" t="n">
        <v>21</v>
      </c>
      <c r="B22" s="4">
        <f>MAX(0,_xlfn.NORM.INV(RAND(),Model!$B$4,Model!$B$11))</f>
        <v/>
      </c>
      <c r="C22" s="12">
        <f>Model!$B$12+(Model!$B$13-Model!$B$12)*RAND()</f>
        <v/>
      </c>
      <c r="D22" s="4">
        <f>MIN(B22,Model!$B$8)</f>
        <v/>
      </c>
      <c r="E22" s="6">
        <f>D22*(Model!$B$5-C22)-Model!$B$7</f>
        <v/>
      </c>
    </row>
    <row r="23">
      <c r="A23" t="n">
        <v>22</v>
      </c>
      <c r="B23" s="4">
        <f>MAX(0,_xlfn.NORM.INV(RAND(),Model!$B$4,Model!$B$11))</f>
        <v/>
      </c>
      <c r="C23" s="12">
        <f>Model!$B$12+(Model!$B$13-Model!$B$12)*RAND()</f>
        <v/>
      </c>
      <c r="D23" s="4">
        <f>MIN(B23,Model!$B$8)</f>
        <v/>
      </c>
      <c r="E23" s="6">
        <f>D23*(Model!$B$5-C23)-Model!$B$7</f>
        <v/>
      </c>
    </row>
    <row r="24">
      <c r="A24" t="n">
        <v>23</v>
      </c>
      <c r="B24" s="4">
        <f>MAX(0,_xlfn.NORM.INV(RAND(),Model!$B$4,Model!$B$11))</f>
        <v/>
      </c>
      <c r="C24" s="12">
        <f>Model!$B$12+(Model!$B$13-Model!$B$12)*RAND()</f>
        <v/>
      </c>
      <c r="D24" s="4">
        <f>MIN(B24,Model!$B$8)</f>
        <v/>
      </c>
      <c r="E24" s="6">
        <f>D24*(Model!$B$5-C24)-Model!$B$7</f>
        <v/>
      </c>
    </row>
    <row r="25">
      <c r="A25" t="n">
        <v>24</v>
      </c>
      <c r="B25" s="4">
        <f>MAX(0,_xlfn.NORM.INV(RAND(),Model!$B$4,Model!$B$11))</f>
        <v/>
      </c>
      <c r="C25" s="12">
        <f>Model!$B$12+(Model!$B$13-Model!$B$12)*RAND()</f>
        <v/>
      </c>
      <c r="D25" s="4">
        <f>MIN(B25,Model!$B$8)</f>
        <v/>
      </c>
      <c r="E25" s="6">
        <f>D25*(Model!$B$5-C25)-Model!$B$7</f>
        <v/>
      </c>
    </row>
    <row r="26">
      <c r="A26" t="n">
        <v>25</v>
      </c>
      <c r="B26" s="4">
        <f>MAX(0,_xlfn.NORM.INV(RAND(),Model!$B$4,Model!$B$11))</f>
        <v/>
      </c>
      <c r="C26" s="12">
        <f>Model!$B$12+(Model!$B$13-Model!$B$12)*RAND()</f>
        <v/>
      </c>
      <c r="D26" s="4">
        <f>MIN(B26,Model!$B$8)</f>
        <v/>
      </c>
      <c r="E26" s="6">
        <f>D26*(Model!$B$5-C26)-Model!$B$7</f>
        <v/>
      </c>
    </row>
    <row r="27">
      <c r="A27" t="n">
        <v>26</v>
      </c>
      <c r="B27" s="4">
        <f>MAX(0,_xlfn.NORM.INV(RAND(),Model!$B$4,Model!$B$11))</f>
        <v/>
      </c>
      <c r="C27" s="12">
        <f>Model!$B$12+(Model!$B$13-Model!$B$12)*RAND()</f>
        <v/>
      </c>
      <c r="D27" s="4">
        <f>MIN(B27,Model!$B$8)</f>
        <v/>
      </c>
      <c r="E27" s="6">
        <f>D27*(Model!$B$5-C27)-Model!$B$7</f>
        <v/>
      </c>
    </row>
    <row r="28">
      <c r="A28" t="n">
        <v>27</v>
      </c>
      <c r="B28" s="4">
        <f>MAX(0,_xlfn.NORM.INV(RAND(),Model!$B$4,Model!$B$11))</f>
        <v/>
      </c>
      <c r="C28" s="12">
        <f>Model!$B$12+(Model!$B$13-Model!$B$12)*RAND()</f>
        <v/>
      </c>
      <c r="D28" s="4">
        <f>MIN(B28,Model!$B$8)</f>
        <v/>
      </c>
      <c r="E28" s="6">
        <f>D28*(Model!$B$5-C28)-Model!$B$7</f>
        <v/>
      </c>
    </row>
    <row r="29">
      <c r="A29" t="n">
        <v>28</v>
      </c>
      <c r="B29" s="4">
        <f>MAX(0,_xlfn.NORM.INV(RAND(),Model!$B$4,Model!$B$11))</f>
        <v/>
      </c>
      <c r="C29" s="12">
        <f>Model!$B$12+(Model!$B$13-Model!$B$12)*RAND()</f>
        <v/>
      </c>
      <c r="D29" s="4">
        <f>MIN(B29,Model!$B$8)</f>
        <v/>
      </c>
      <c r="E29" s="6">
        <f>D29*(Model!$B$5-C29)-Model!$B$7</f>
        <v/>
      </c>
    </row>
    <row r="30">
      <c r="A30" t="n">
        <v>29</v>
      </c>
      <c r="B30" s="4">
        <f>MAX(0,_xlfn.NORM.INV(RAND(),Model!$B$4,Model!$B$11))</f>
        <v/>
      </c>
      <c r="C30" s="12">
        <f>Model!$B$12+(Model!$B$13-Model!$B$12)*RAND()</f>
        <v/>
      </c>
      <c r="D30" s="4">
        <f>MIN(B30,Model!$B$8)</f>
        <v/>
      </c>
      <c r="E30" s="6">
        <f>D30*(Model!$B$5-C30)-Model!$B$7</f>
        <v/>
      </c>
    </row>
    <row r="31">
      <c r="A31" t="n">
        <v>30</v>
      </c>
      <c r="B31" s="4">
        <f>MAX(0,_xlfn.NORM.INV(RAND(),Model!$B$4,Model!$B$11))</f>
        <v/>
      </c>
      <c r="C31" s="12">
        <f>Model!$B$12+(Model!$B$13-Model!$B$12)*RAND()</f>
        <v/>
      </c>
      <c r="D31" s="4">
        <f>MIN(B31,Model!$B$8)</f>
        <v/>
      </c>
      <c r="E31" s="6">
        <f>D31*(Model!$B$5-C31)-Model!$B$7</f>
        <v/>
      </c>
    </row>
    <row r="32">
      <c r="A32" t="n">
        <v>31</v>
      </c>
      <c r="B32" s="4">
        <f>MAX(0,_xlfn.NORM.INV(RAND(),Model!$B$4,Model!$B$11))</f>
        <v/>
      </c>
      <c r="C32" s="12">
        <f>Model!$B$12+(Model!$B$13-Model!$B$12)*RAND()</f>
        <v/>
      </c>
      <c r="D32" s="4">
        <f>MIN(B32,Model!$B$8)</f>
        <v/>
      </c>
      <c r="E32" s="6">
        <f>D32*(Model!$B$5-C32)-Model!$B$7</f>
        <v/>
      </c>
    </row>
    <row r="33">
      <c r="A33" t="n">
        <v>32</v>
      </c>
      <c r="B33" s="4">
        <f>MAX(0,_xlfn.NORM.INV(RAND(),Model!$B$4,Model!$B$11))</f>
        <v/>
      </c>
      <c r="C33" s="12">
        <f>Model!$B$12+(Model!$B$13-Model!$B$12)*RAND()</f>
        <v/>
      </c>
      <c r="D33" s="4">
        <f>MIN(B33,Model!$B$8)</f>
        <v/>
      </c>
      <c r="E33" s="6">
        <f>D33*(Model!$B$5-C33)-Model!$B$7</f>
        <v/>
      </c>
    </row>
    <row r="34">
      <c r="A34" t="n">
        <v>33</v>
      </c>
      <c r="B34" s="4">
        <f>MAX(0,_xlfn.NORM.INV(RAND(),Model!$B$4,Model!$B$11))</f>
        <v/>
      </c>
      <c r="C34" s="12">
        <f>Model!$B$12+(Model!$B$13-Model!$B$12)*RAND()</f>
        <v/>
      </c>
      <c r="D34" s="4">
        <f>MIN(B34,Model!$B$8)</f>
        <v/>
      </c>
      <c r="E34" s="6">
        <f>D34*(Model!$B$5-C34)-Model!$B$7</f>
        <v/>
      </c>
    </row>
    <row r="35">
      <c r="A35" t="n">
        <v>34</v>
      </c>
      <c r="B35" s="4">
        <f>MAX(0,_xlfn.NORM.INV(RAND(),Model!$B$4,Model!$B$11))</f>
        <v/>
      </c>
      <c r="C35" s="12">
        <f>Model!$B$12+(Model!$B$13-Model!$B$12)*RAND()</f>
        <v/>
      </c>
      <c r="D35" s="4">
        <f>MIN(B35,Model!$B$8)</f>
        <v/>
      </c>
      <c r="E35" s="6">
        <f>D35*(Model!$B$5-C35)-Model!$B$7</f>
        <v/>
      </c>
    </row>
    <row r="36">
      <c r="A36" t="n">
        <v>35</v>
      </c>
      <c r="B36" s="4">
        <f>MAX(0,_xlfn.NORM.INV(RAND(),Model!$B$4,Model!$B$11))</f>
        <v/>
      </c>
      <c r="C36" s="12">
        <f>Model!$B$12+(Model!$B$13-Model!$B$12)*RAND()</f>
        <v/>
      </c>
      <c r="D36" s="4">
        <f>MIN(B36,Model!$B$8)</f>
        <v/>
      </c>
      <c r="E36" s="6">
        <f>D36*(Model!$B$5-C36)-Model!$B$7</f>
        <v/>
      </c>
    </row>
    <row r="37">
      <c r="A37" t="n">
        <v>36</v>
      </c>
      <c r="B37" s="4">
        <f>MAX(0,_xlfn.NORM.INV(RAND(),Model!$B$4,Model!$B$11))</f>
        <v/>
      </c>
      <c r="C37" s="12">
        <f>Model!$B$12+(Model!$B$13-Model!$B$12)*RAND()</f>
        <v/>
      </c>
      <c r="D37" s="4">
        <f>MIN(B37,Model!$B$8)</f>
        <v/>
      </c>
      <c r="E37" s="6">
        <f>D37*(Model!$B$5-C37)-Model!$B$7</f>
        <v/>
      </c>
    </row>
    <row r="38">
      <c r="A38" t="n">
        <v>37</v>
      </c>
      <c r="B38" s="4">
        <f>MAX(0,_xlfn.NORM.INV(RAND(),Model!$B$4,Model!$B$11))</f>
        <v/>
      </c>
      <c r="C38" s="12">
        <f>Model!$B$12+(Model!$B$13-Model!$B$12)*RAND()</f>
        <v/>
      </c>
      <c r="D38" s="4">
        <f>MIN(B38,Model!$B$8)</f>
        <v/>
      </c>
      <c r="E38" s="6">
        <f>D38*(Model!$B$5-C38)-Model!$B$7</f>
        <v/>
      </c>
    </row>
    <row r="39">
      <c r="A39" t="n">
        <v>38</v>
      </c>
      <c r="B39" s="4">
        <f>MAX(0,_xlfn.NORM.INV(RAND(),Model!$B$4,Model!$B$11))</f>
        <v/>
      </c>
      <c r="C39" s="12">
        <f>Model!$B$12+(Model!$B$13-Model!$B$12)*RAND()</f>
        <v/>
      </c>
      <c r="D39" s="4">
        <f>MIN(B39,Model!$B$8)</f>
        <v/>
      </c>
      <c r="E39" s="6">
        <f>D39*(Model!$B$5-C39)-Model!$B$7</f>
        <v/>
      </c>
    </row>
    <row r="40">
      <c r="A40" t="n">
        <v>39</v>
      </c>
      <c r="B40" s="4">
        <f>MAX(0,_xlfn.NORM.INV(RAND(),Model!$B$4,Model!$B$11))</f>
        <v/>
      </c>
      <c r="C40" s="12">
        <f>Model!$B$12+(Model!$B$13-Model!$B$12)*RAND()</f>
        <v/>
      </c>
      <c r="D40" s="4">
        <f>MIN(B40,Model!$B$8)</f>
        <v/>
      </c>
      <c r="E40" s="6">
        <f>D40*(Model!$B$5-C40)-Model!$B$7</f>
        <v/>
      </c>
    </row>
    <row r="41">
      <c r="A41" t="n">
        <v>40</v>
      </c>
      <c r="B41" s="4">
        <f>MAX(0,_xlfn.NORM.INV(RAND(),Model!$B$4,Model!$B$11))</f>
        <v/>
      </c>
      <c r="C41" s="12">
        <f>Model!$B$12+(Model!$B$13-Model!$B$12)*RAND()</f>
        <v/>
      </c>
      <c r="D41" s="4">
        <f>MIN(B41,Model!$B$8)</f>
        <v/>
      </c>
      <c r="E41" s="6">
        <f>D41*(Model!$B$5-C41)-Model!$B$7</f>
        <v/>
      </c>
    </row>
    <row r="42">
      <c r="A42" t="n">
        <v>41</v>
      </c>
      <c r="B42" s="4">
        <f>MAX(0,_xlfn.NORM.INV(RAND(),Model!$B$4,Model!$B$11))</f>
        <v/>
      </c>
      <c r="C42" s="12">
        <f>Model!$B$12+(Model!$B$13-Model!$B$12)*RAND()</f>
        <v/>
      </c>
      <c r="D42" s="4">
        <f>MIN(B42,Model!$B$8)</f>
        <v/>
      </c>
      <c r="E42" s="6">
        <f>D42*(Model!$B$5-C42)-Model!$B$7</f>
        <v/>
      </c>
    </row>
    <row r="43">
      <c r="A43" t="n">
        <v>42</v>
      </c>
      <c r="B43" s="4">
        <f>MAX(0,_xlfn.NORM.INV(RAND(),Model!$B$4,Model!$B$11))</f>
        <v/>
      </c>
      <c r="C43" s="12">
        <f>Model!$B$12+(Model!$B$13-Model!$B$12)*RAND()</f>
        <v/>
      </c>
      <c r="D43" s="4">
        <f>MIN(B43,Model!$B$8)</f>
        <v/>
      </c>
      <c r="E43" s="6">
        <f>D43*(Model!$B$5-C43)-Model!$B$7</f>
        <v/>
      </c>
    </row>
    <row r="44">
      <c r="A44" t="n">
        <v>43</v>
      </c>
      <c r="B44" s="4">
        <f>MAX(0,_xlfn.NORM.INV(RAND(),Model!$B$4,Model!$B$11))</f>
        <v/>
      </c>
      <c r="C44" s="12">
        <f>Model!$B$12+(Model!$B$13-Model!$B$12)*RAND()</f>
        <v/>
      </c>
      <c r="D44" s="4">
        <f>MIN(B44,Model!$B$8)</f>
        <v/>
      </c>
      <c r="E44" s="6">
        <f>D44*(Model!$B$5-C44)-Model!$B$7</f>
        <v/>
      </c>
    </row>
    <row r="45">
      <c r="A45" t="n">
        <v>44</v>
      </c>
      <c r="B45" s="4">
        <f>MAX(0,_xlfn.NORM.INV(RAND(),Model!$B$4,Model!$B$11))</f>
        <v/>
      </c>
      <c r="C45" s="12">
        <f>Model!$B$12+(Model!$B$13-Model!$B$12)*RAND()</f>
        <v/>
      </c>
      <c r="D45" s="4">
        <f>MIN(B45,Model!$B$8)</f>
        <v/>
      </c>
      <c r="E45" s="6">
        <f>D45*(Model!$B$5-C45)-Model!$B$7</f>
        <v/>
      </c>
    </row>
    <row r="46">
      <c r="A46" t="n">
        <v>45</v>
      </c>
      <c r="B46" s="4">
        <f>MAX(0,_xlfn.NORM.INV(RAND(),Model!$B$4,Model!$B$11))</f>
        <v/>
      </c>
      <c r="C46" s="12">
        <f>Model!$B$12+(Model!$B$13-Model!$B$12)*RAND()</f>
        <v/>
      </c>
      <c r="D46" s="4">
        <f>MIN(B46,Model!$B$8)</f>
        <v/>
      </c>
      <c r="E46" s="6">
        <f>D46*(Model!$B$5-C46)-Model!$B$7</f>
        <v/>
      </c>
    </row>
    <row r="47">
      <c r="A47" t="n">
        <v>46</v>
      </c>
      <c r="B47" s="4">
        <f>MAX(0,_xlfn.NORM.INV(RAND(),Model!$B$4,Model!$B$11))</f>
        <v/>
      </c>
      <c r="C47" s="12">
        <f>Model!$B$12+(Model!$B$13-Model!$B$12)*RAND()</f>
        <v/>
      </c>
      <c r="D47" s="4">
        <f>MIN(B47,Model!$B$8)</f>
        <v/>
      </c>
      <c r="E47" s="6">
        <f>D47*(Model!$B$5-C47)-Model!$B$7</f>
        <v/>
      </c>
    </row>
    <row r="48">
      <c r="A48" t="n">
        <v>47</v>
      </c>
      <c r="B48" s="4">
        <f>MAX(0,_xlfn.NORM.INV(RAND(),Model!$B$4,Model!$B$11))</f>
        <v/>
      </c>
      <c r="C48" s="12">
        <f>Model!$B$12+(Model!$B$13-Model!$B$12)*RAND()</f>
        <v/>
      </c>
      <c r="D48" s="4">
        <f>MIN(B48,Model!$B$8)</f>
        <v/>
      </c>
      <c r="E48" s="6">
        <f>D48*(Model!$B$5-C48)-Model!$B$7</f>
        <v/>
      </c>
    </row>
    <row r="49">
      <c r="A49" t="n">
        <v>48</v>
      </c>
      <c r="B49" s="4">
        <f>MAX(0,_xlfn.NORM.INV(RAND(),Model!$B$4,Model!$B$11))</f>
        <v/>
      </c>
      <c r="C49" s="12">
        <f>Model!$B$12+(Model!$B$13-Model!$B$12)*RAND()</f>
        <v/>
      </c>
      <c r="D49" s="4">
        <f>MIN(B49,Model!$B$8)</f>
        <v/>
      </c>
      <c r="E49" s="6">
        <f>D49*(Model!$B$5-C49)-Model!$B$7</f>
        <v/>
      </c>
    </row>
    <row r="50">
      <c r="A50" t="n">
        <v>49</v>
      </c>
      <c r="B50" s="4">
        <f>MAX(0,_xlfn.NORM.INV(RAND(),Model!$B$4,Model!$B$11))</f>
        <v/>
      </c>
      <c r="C50" s="12">
        <f>Model!$B$12+(Model!$B$13-Model!$B$12)*RAND()</f>
        <v/>
      </c>
      <c r="D50" s="4">
        <f>MIN(B50,Model!$B$8)</f>
        <v/>
      </c>
      <c r="E50" s="6">
        <f>D50*(Model!$B$5-C50)-Model!$B$7</f>
        <v/>
      </c>
    </row>
    <row r="51">
      <c r="A51" t="n">
        <v>50</v>
      </c>
      <c r="B51" s="4">
        <f>MAX(0,_xlfn.NORM.INV(RAND(),Model!$B$4,Model!$B$11))</f>
        <v/>
      </c>
      <c r="C51" s="12">
        <f>Model!$B$12+(Model!$B$13-Model!$B$12)*RAND()</f>
        <v/>
      </c>
      <c r="D51" s="4">
        <f>MIN(B51,Model!$B$8)</f>
        <v/>
      </c>
      <c r="E51" s="6">
        <f>D51*(Model!$B$5-C51)-Model!$B$7</f>
        <v/>
      </c>
    </row>
    <row r="52">
      <c r="A52" t="n">
        <v>51</v>
      </c>
      <c r="B52" s="4">
        <f>MAX(0,_xlfn.NORM.INV(RAND(),Model!$B$4,Model!$B$11))</f>
        <v/>
      </c>
      <c r="C52" s="12">
        <f>Model!$B$12+(Model!$B$13-Model!$B$12)*RAND()</f>
        <v/>
      </c>
      <c r="D52" s="4">
        <f>MIN(B52,Model!$B$8)</f>
        <v/>
      </c>
      <c r="E52" s="6">
        <f>D52*(Model!$B$5-C52)-Model!$B$7</f>
        <v/>
      </c>
    </row>
    <row r="53">
      <c r="A53" t="n">
        <v>52</v>
      </c>
      <c r="B53" s="4">
        <f>MAX(0,_xlfn.NORM.INV(RAND(),Model!$B$4,Model!$B$11))</f>
        <v/>
      </c>
      <c r="C53" s="12">
        <f>Model!$B$12+(Model!$B$13-Model!$B$12)*RAND()</f>
        <v/>
      </c>
      <c r="D53" s="4">
        <f>MIN(B53,Model!$B$8)</f>
        <v/>
      </c>
      <c r="E53" s="6">
        <f>D53*(Model!$B$5-C53)-Model!$B$7</f>
        <v/>
      </c>
    </row>
    <row r="54">
      <c r="A54" t="n">
        <v>53</v>
      </c>
      <c r="B54" s="4">
        <f>MAX(0,_xlfn.NORM.INV(RAND(),Model!$B$4,Model!$B$11))</f>
        <v/>
      </c>
      <c r="C54" s="12">
        <f>Model!$B$12+(Model!$B$13-Model!$B$12)*RAND()</f>
        <v/>
      </c>
      <c r="D54" s="4">
        <f>MIN(B54,Model!$B$8)</f>
        <v/>
      </c>
      <c r="E54" s="6">
        <f>D54*(Model!$B$5-C54)-Model!$B$7</f>
        <v/>
      </c>
    </row>
    <row r="55">
      <c r="A55" t="n">
        <v>54</v>
      </c>
      <c r="B55" s="4">
        <f>MAX(0,_xlfn.NORM.INV(RAND(),Model!$B$4,Model!$B$11))</f>
        <v/>
      </c>
      <c r="C55" s="12">
        <f>Model!$B$12+(Model!$B$13-Model!$B$12)*RAND()</f>
        <v/>
      </c>
      <c r="D55" s="4">
        <f>MIN(B55,Model!$B$8)</f>
        <v/>
      </c>
      <c r="E55" s="6">
        <f>D55*(Model!$B$5-C55)-Model!$B$7</f>
        <v/>
      </c>
    </row>
    <row r="56">
      <c r="A56" t="n">
        <v>55</v>
      </c>
      <c r="B56" s="4">
        <f>MAX(0,_xlfn.NORM.INV(RAND(),Model!$B$4,Model!$B$11))</f>
        <v/>
      </c>
      <c r="C56" s="12">
        <f>Model!$B$12+(Model!$B$13-Model!$B$12)*RAND()</f>
        <v/>
      </c>
      <c r="D56" s="4">
        <f>MIN(B56,Model!$B$8)</f>
        <v/>
      </c>
      <c r="E56" s="6">
        <f>D56*(Model!$B$5-C56)-Model!$B$7</f>
        <v/>
      </c>
    </row>
    <row r="57">
      <c r="A57" t="n">
        <v>56</v>
      </c>
      <c r="B57" s="4">
        <f>MAX(0,_xlfn.NORM.INV(RAND(),Model!$B$4,Model!$B$11))</f>
        <v/>
      </c>
      <c r="C57" s="12">
        <f>Model!$B$12+(Model!$B$13-Model!$B$12)*RAND()</f>
        <v/>
      </c>
      <c r="D57" s="4">
        <f>MIN(B57,Model!$B$8)</f>
        <v/>
      </c>
      <c r="E57" s="6">
        <f>D57*(Model!$B$5-C57)-Model!$B$7</f>
        <v/>
      </c>
    </row>
    <row r="58">
      <c r="A58" t="n">
        <v>57</v>
      </c>
      <c r="B58" s="4">
        <f>MAX(0,_xlfn.NORM.INV(RAND(),Model!$B$4,Model!$B$11))</f>
        <v/>
      </c>
      <c r="C58" s="12">
        <f>Model!$B$12+(Model!$B$13-Model!$B$12)*RAND()</f>
        <v/>
      </c>
      <c r="D58" s="4">
        <f>MIN(B58,Model!$B$8)</f>
        <v/>
      </c>
      <c r="E58" s="6">
        <f>D58*(Model!$B$5-C58)-Model!$B$7</f>
        <v/>
      </c>
    </row>
    <row r="59">
      <c r="A59" t="n">
        <v>58</v>
      </c>
      <c r="B59" s="4">
        <f>MAX(0,_xlfn.NORM.INV(RAND(),Model!$B$4,Model!$B$11))</f>
        <v/>
      </c>
      <c r="C59" s="12">
        <f>Model!$B$12+(Model!$B$13-Model!$B$12)*RAND()</f>
        <v/>
      </c>
      <c r="D59" s="4">
        <f>MIN(B59,Model!$B$8)</f>
        <v/>
      </c>
      <c r="E59" s="6">
        <f>D59*(Model!$B$5-C59)-Model!$B$7</f>
        <v/>
      </c>
    </row>
    <row r="60">
      <c r="A60" t="n">
        <v>59</v>
      </c>
      <c r="B60" s="4">
        <f>MAX(0,_xlfn.NORM.INV(RAND(),Model!$B$4,Model!$B$11))</f>
        <v/>
      </c>
      <c r="C60" s="12">
        <f>Model!$B$12+(Model!$B$13-Model!$B$12)*RAND()</f>
        <v/>
      </c>
      <c r="D60" s="4">
        <f>MIN(B60,Model!$B$8)</f>
        <v/>
      </c>
      <c r="E60" s="6">
        <f>D60*(Model!$B$5-C60)-Model!$B$7</f>
        <v/>
      </c>
    </row>
    <row r="61">
      <c r="A61" t="n">
        <v>60</v>
      </c>
      <c r="B61" s="4">
        <f>MAX(0,_xlfn.NORM.INV(RAND(),Model!$B$4,Model!$B$11))</f>
        <v/>
      </c>
      <c r="C61" s="12">
        <f>Model!$B$12+(Model!$B$13-Model!$B$12)*RAND()</f>
        <v/>
      </c>
      <c r="D61" s="4">
        <f>MIN(B61,Model!$B$8)</f>
        <v/>
      </c>
      <c r="E61" s="6">
        <f>D61*(Model!$B$5-C61)-Model!$B$7</f>
        <v/>
      </c>
    </row>
    <row r="62">
      <c r="A62" t="n">
        <v>61</v>
      </c>
      <c r="B62" s="4">
        <f>MAX(0,_xlfn.NORM.INV(RAND(),Model!$B$4,Model!$B$11))</f>
        <v/>
      </c>
      <c r="C62" s="12">
        <f>Model!$B$12+(Model!$B$13-Model!$B$12)*RAND()</f>
        <v/>
      </c>
      <c r="D62" s="4">
        <f>MIN(B62,Model!$B$8)</f>
        <v/>
      </c>
      <c r="E62" s="6">
        <f>D62*(Model!$B$5-C62)-Model!$B$7</f>
        <v/>
      </c>
    </row>
    <row r="63">
      <c r="A63" t="n">
        <v>62</v>
      </c>
      <c r="B63" s="4">
        <f>MAX(0,_xlfn.NORM.INV(RAND(),Model!$B$4,Model!$B$11))</f>
        <v/>
      </c>
      <c r="C63" s="12">
        <f>Model!$B$12+(Model!$B$13-Model!$B$12)*RAND()</f>
        <v/>
      </c>
      <c r="D63" s="4">
        <f>MIN(B63,Model!$B$8)</f>
        <v/>
      </c>
      <c r="E63" s="6">
        <f>D63*(Model!$B$5-C63)-Model!$B$7</f>
        <v/>
      </c>
    </row>
    <row r="64">
      <c r="A64" t="n">
        <v>63</v>
      </c>
      <c r="B64" s="4">
        <f>MAX(0,_xlfn.NORM.INV(RAND(),Model!$B$4,Model!$B$11))</f>
        <v/>
      </c>
      <c r="C64" s="12">
        <f>Model!$B$12+(Model!$B$13-Model!$B$12)*RAND()</f>
        <v/>
      </c>
      <c r="D64" s="4">
        <f>MIN(B64,Model!$B$8)</f>
        <v/>
      </c>
      <c r="E64" s="6">
        <f>D64*(Model!$B$5-C64)-Model!$B$7</f>
        <v/>
      </c>
    </row>
    <row r="65">
      <c r="A65" t="n">
        <v>64</v>
      </c>
      <c r="B65" s="4">
        <f>MAX(0,_xlfn.NORM.INV(RAND(),Model!$B$4,Model!$B$11))</f>
        <v/>
      </c>
      <c r="C65" s="12">
        <f>Model!$B$12+(Model!$B$13-Model!$B$12)*RAND()</f>
        <v/>
      </c>
      <c r="D65" s="4">
        <f>MIN(B65,Model!$B$8)</f>
        <v/>
      </c>
      <c r="E65" s="6">
        <f>D65*(Model!$B$5-C65)-Model!$B$7</f>
        <v/>
      </c>
    </row>
    <row r="66">
      <c r="A66" t="n">
        <v>65</v>
      </c>
      <c r="B66" s="4">
        <f>MAX(0,_xlfn.NORM.INV(RAND(),Model!$B$4,Model!$B$11))</f>
        <v/>
      </c>
      <c r="C66" s="12">
        <f>Model!$B$12+(Model!$B$13-Model!$B$12)*RAND()</f>
        <v/>
      </c>
      <c r="D66" s="4">
        <f>MIN(B66,Model!$B$8)</f>
        <v/>
      </c>
      <c r="E66" s="6">
        <f>D66*(Model!$B$5-C66)-Model!$B$7</f>
        <v/>
      </c>
    </row>
    <row r="67">
      <c r="A67" t="n">
        <v>66</v>
      </c>
      <c r="B67" s="4">
        <f>MAX(0,_xlfn.NORM.INV(RAND(),Model!$B$4,Model!$B$11))</f>
        <v/>
      </c>
      <c r="C67" s="12">
        <f>Model!$B$12+(Model!$B$13-Model!$B$12)*RAND()</f>
        <v/>
      </c>
      <c r="D67" s="4">
        <f>MIN(B67,Model!$B$8)</f>
        <v/>
      </c>
      <c r="E67" s="6">
        <f>D67*(Model!$B$5-C67)-Model!$B$7</f>
        <v/>
      </c>
    </row>
    <row r="68">
      <c r="A68" t="n">
        <v>67</v>
      </c>
      <c r="B68" s="4">
        <f>MAX(0,_xlfn.NORM.INV(RAND(),Model!$B$4,Model!$B$11))</f>
        <v/>
      </c>
      <c r="C68" s="12">
        <f>Model!$B$12+(Model!$B$13-Model!$B$12)*RAND()</f>
        <v/>
      </c>
      <c r="D68" s="4">
        <f>MIN(B68,Model!$B$8)</f>
        <v/>
      </c>
      <c r="E68" s="6">
        <f>D68*(Model!$B$5-C68)-Model!$B$7</f>
        <v/>
      </c>
    </row>
    <row r="69">
      <c r="A69" t="n">
        <v>68</v>
      </c>
      <c r="B69" s="4">
        <f>MAX(0,_xlfn.NORM.INV(RAND(),Model!$B$4,Model!$B$11))</f>
        <v/>
      </c>
      <c r="C69" s="12">
        <f>Model!$B$12+(Model!$B$13-Model!$B$12)*RAND()</f>
        <v/>
      </c>
      <c r="D69" s="4">
        <f>MIN(B69,Model!$B$8)</f>
        <v/>
      </c>
      <c r="E69" s="6">
        <f>D69*(Model!$B$5-C69)-Model!$B$7</f>
        <v/>
      </c>
    </row>
    <row r="70">
      <c r="A70" t="n">
        <v>69</v>
      </c>
      <c r="B70" s="4">
        <f>MAX(0,_xlfn.NORM.INV(RAND(),Model!$B$4,Model!$B$11))</f>
        <v/>
      </c>
      <c r="C70" s="12">
        <f>Model!$B$12+(Model!$B$13-Model!$B$12)*RAND()</f>
        <v/>
      </c>
      <c r="D70" s="4">
        <f>MIN(B70,Model!$B$8)</f>
        <v/>
      </c>
      <c r="E70" s="6">
        <f>D70*(Model!$B$5-C70)-Model!$B$7</f>
        <v/>
      </c>
    </row>
    <row r="71">
      <c r="A71" t="n">
        <v>70</v>
      </c>
      <c r="B71" s="4">
        <f>MAX(0,_xlfn.NORM.INV(RAND(),Model!$B$4,Model!$B$11))</f>
        <v/>
      </c>
      <c r="C71" s="12">
        <f>Model!$B$12+(Model!$B$13-Model!$B$12)*RAND()</f>
        <v/>
      </c>
      <c r="D71" s="4">
        <f>MIN(B71,Model!$B$8)</f>
        <v/>
      </c>
      <c r="E71" s="6">
        <f>D71*(Model!$B$5-C71)-Model!$B$7</f>
        <v/>
      </c>
    </row>
    <row r="72">
      <c r="A72" t="n">
        <v>71</v>
      </c>
      <c r="B72" s="4">
        <f>MAX(0,_xlfn.NORM.INV(RAND(),Model!$B$4,Model!$B$11))</f>
        <v/>
      </c>
      <c r="C72" s="12">
        <f>Model!$B$12+(Model!$B$13-Model!$B$12)*RAND()</f>
        <v/>
      </c>
      <c r="D72" s="4">
        <f>MIN(B72,Model!$B$8)</f>
        <v/>
      </c>
      <c r="E72" s="6">
        <f>D72*(Model!$B$5-C72)-Model!$B$7</f>
        <v/>
      </c>
    </row>
    <row r="73">
      <c r="A73" t="n">
        <v>72</v>
      </c>
      <c r="B73" s="4">
        <f>MAX(0,_xlfn.NORM.INV(RAND(),Model!$B$4,Model!$B$11))</f>
        <v/>
      </c>
      <c r="C73" s="12">
        <f>Model!$B$12+(Model!$B$13-Model!$B$12)*RAND()</f>
        <v/>
      </c>
      <c r="D73" s="4">
        <f>MIN(B73,Model!$B$8)</f>
        <v/>
      </c>
      <c r="E73" s="6">
        <f>D73*(Model!$B$5-C73)-Model!$B$7</f>
        <v/>
      </c>
    </row>
    <row r="74">
      <c r="A74" t="n">
        <v>73</v>
      </c>
      <c r="B74" s="4">
        <f>MAX(0,_xlfn.NORM.INV(RAND(),Model!$B$4,Model!$B$11))</f>
        <v/>
      </c>
      <c r="C74" s="12">
        <f>Model!$B$12+(Model!$B$13-Model!$B$12)*RAND()</f>
        <v/>
      </c>
      <c r="D74" s="4">
        <f>MIN(B74,Model!$B$8)</f>
        <v/>
      </c>
      <c r="E74" s="6">
        <f>D74*(Model!$B$5-C74)-Model!$B$7</f>
        <v/>
      </c>
    </row>
    <row r="75">
      <c r="A75" t="n">
        <v>74</v>
      </c>
      <c r="B75" s="4">
        <f>MAX(0,_xlfn.NORM.INV(RAND(),Model!$B$4,Model!$B$11))</f>
        <v/>
      </c>
      <c r="C75" s="12">
        <f>Model!$B$12+(Model!$B$13-Model!$B$12)*RAND()</f>
        <v/>
      </c>
      <c r="D75" s="4">
        <f>MIN(B75,Model!$B$8)</f>
        <v/>
      </c>
      <c r="E75" s="6">
        <f>D75*(Model!$B$5-C75)-Model!$B$7</f>
        <v/>
      </c>
    </row>
    <row r="76">
      <c r="A76" t="n">
        <v>75</v>
      </c>
      <c r="B76" s="4">
        <f>MAX(0,_xlfn.NORM.INV(RAND(),Model!$B$4,Model!$B$11))</f>
        <v/>
      </c>
      <c r="C76" s="12">
        <f>Model!$B$12+(Model!$B$13-Model!$B$12)*RAND()</f>
        <v/>
      </c>
      <c r="D76" s="4">
        <f>MIN(B76,Model!$B$8)</f>
        <v/>
      </c>
      <c r="E76" s="6">
        <f>D76*(Model!$B$5-C76)-Model!$B$7</f>
        <v/>
      </c>
    </row>
    <row r="77">
      <c r="A77" t="n">
        <v>76</v>
      </c>
      <c r="B77" s="4">
        <f>MAX(0,_xlfn.NORM.INV(RAND(),Model!$B$4,Model!$B$11))</f>
        <v/>
      </c>
      <c r="C77" s="12">
        <f>Model!$B$12+(Model!$B$13-Model!$B$12)*RAND()</f>
        <v/>
      </c>
      <c r="D77" s="4">
        <f>MIN(B77,Model!$B$8)</f>
        <v/>
      </c>
      <c r="E77" s="6">
        <f>D77*(Model!$B$5-C77)-Model!$B$7</f>
        <v/>
      </c>
    </row>
    <row r="78">
      <c r="A78" t="n">
        <v>77</v>
      </c>
      <c r="B78" s="4">
        <f>MAX(0,_xlfn.NORM.INV(RAND(),Model!$B$4,Model!$B$11))</f>
        <v/>
      </c>
      <c r="C78" s="12">
        <f>Model!$B$12+(Model!$B$13-Model!$B$12)*RAND()</f>
        <v/>
      </c>
      <c r="D78" s="4">
        <f>MIN(B78,Model!$B$8)</f>
        <v/>
      </c>
      <c r="E78" s="6">
        <f>D78*(Model!$B$5-C78)-Model!$B$7</f>
        <v/>
      </c>
    </row>
    <row r="79">
      <c r="A79" t="n">
        <v>78</v>
      </c>
      <c r="B79" s="4">
        <f>MAX(0,_xlfn.NORM.INV(RAND(),Model!$B$4,Model!$B$11))</f>
        <v/>
      </c>
      <c r="C79" s="12">
        <f>Model!$B$12+(Model!$B$13-Model!$B$12)*RAND()</f>
        <v/>
      </c>
      <c r="D79" s="4">
        <f>MIN(B79,Model!$B$8)</f>
        <v/>
      </c>
      <c r="E79" s="6">
        <f>D79*(Model!$B$5-C79)-Model!$B$7</f>
        <v/>
      </c>
    </row>
    <row r="80">
      <c r="A80" t="n">
        <v>79</v>
      </c>
      <c r="B80" s="4">
        <f>MAX(0,_xlfn.NORM.INV(RAND(),Model!$B$4,Model!$B$11))</f>
        <v/>
      </c>
      <c r="C80" s="12">
        <f>Model!$B$12+(Model!$B$13-Model!$B$12)*RAND()</f>
        <v/>
      </c>
      <c r="D80" s="4">
        <f>MIN(B80,Model!$B$8)</f>
        <v/>
      </c>
      <c r="E80" s="6">
        <f>D80*(Model!$B$5-C80)-Model!$B$7</f>
        <v/>
      </c>
    </row>
    <row r="81">
      <c r="A81" t="n">
        <v>80</v>
      </c>
      <c r="B81" s="4">
        <f>MAX(0,_xlfn.NORM.INV(RAND(),Model!$B$4,Model!$B$11))</f>
        <v/>
      </c>
      <c r="C81" s="12">
        <f>Model!$B$12+(Model!$B$13-Model!$B$12)*RAND()</f>
        <v/>
      </c>
      <c r="D81" s="4">
        <f>MIN(B81,Model!$B$8)</f>
        <v/>
      </c>
      <c r="E81" s="6">
        <f>D81*(Model!$B$5-C81)-Model!$B$7</f>
        <v/>
      </c>
    </row>
    <row r="82">
      <c r="A82" t="n">
        <v>81</v>
      </c>
      <c r="B82" s="4">
        <f>MAX(0,_xlfn.NORM.INV(RAND(),Model!$B$4,Model!$B$11))</f>
        <v/>
      </c>
      <c r="C82" s="12">
        <f>Model!$B$12+(Model!$B$13-Model!$B$12)*RAND()</f>
        <v/>
      </c>
      <c r="D82" s="4">
        <f>MIN(B82,Model!$B$8)</f>
        <v/>
      </c>
      <c r="E82" s="6">
        <f>D82*(Model!$B$5-C82)-Model!$B$7</f>
        <v/>
      </c>
    </row>
    <row r="83">
      <c r="A83" t="n">
        <v>82</v>
      </c>
      <c r="B83" s="4">
        <f>MAX(0,_xlfn.NORM.INV(RAND(),Model!$B$4,Model!$B$11))</f>
        <v/>
      </c>
      <c r="C83" s="12">
        <f>Model!$B$12+(Model!$B$13-Model!$B$12)*RAND()</f>
        <v/>
      </c>
      <c r="D83" s="4">
        <f>MIN(B83,Model!$B$8)</f>
        <v/>
      </c>
      <c r="E83" s="6">
        <f>D83*(Model!$B$5-C83)-Model!$B$7</f>
        <v/>
      </c>
    </row>
    <row r="84">
      <c r="A84" t="n">
        <v>83</v>
      </c>
      <c r="B84" s="4">
        <f>MAX(0,_xlfn.NORM.INV(RAND(),Model!$B$4,Model!$B$11))</f>
        <v/>
      </c>
      <c r="C84" s="12">
        <f>Model!$B$12+(Model!$B$13-Model!$B$12)*RAND()</f>
        <v/>
      </c>
      <c r="D84" s="4">
        <f>MIN(B84,Model!$B$8)</f>
        <v/>
      </c>
      <c r="E84" s="6">
        <f>D84*(Model!$B$5-C84)-Model!$B$7</f>
        <v/>
      </c>
    </row>
    <row r="85">
      <c r="A85" t="n">
        <v>84</v>
      </c>
      <c r="B85" s="4">
        <f>MAX(0,_xlfn.NORM.INV(RAND(),Model!$B$4,Model!$B$11))</f>
        <v/>
      </c>
      <c r="C85" s="12">
        <f>Model!$B$12+(Model!$B$13-Model!$B$12)*RAND()</f>
        <v/>
      </c>
      <c r="D85" s="4">
        <f>MIN(B85,Model!$B$8)</f>
        <v/>
      </c>
      <c r="E85" s="6">
        <f>D85*(Model!$B$5-C85)-Model!$B$7</f>
        <v/>
      </c>
    </row>
    <row r="86">
      <c r="A86" t="n">
        <v>85</v>
      </c>
      <c r="B86" s="4">
        <f>MAX(0,_xlfn.NORM.INV(RAND(),Model!$B$4,Model!$B$11))</f>
        <v/>
      </c>
      <c r="C86" s="12">
        <f>Model!$B$12+(Model!$B$13-Model!$B$12)*RAND()</f>
        <v/>
      </c>
      <c r="D86" s="4">
        <f>MIN(B86,Model!$B$8)</f>
        <v/>
      </c>
      <c r="E86" s="6">
        <f>D86*(Model!$B$5-C86)-Model!$B$7</f>
        <v/>
      </c>
    </row>
    <row r="87">
      <c r="A87" t="n">
        <v>86</v>
      </c>
      <c r="B87" s="4">
        <f>MAX(0,_xlfn.NORM.INV(RAND(),Model!$B$4,Model!$B$11))</f>
        <v/>
      </c>
      <c r="C87" s="12">
        <f>Model!$B$12+(Model!$B$13-Model!$B$12)*RAND()</f>
        <v/>
      </c>
      <c r="D87" s="4">
        <f>MIN(B87,Model!$B$8)</f>
        <v/>
      </c>
      <c r="E87" s="6">
        <f>D87*(Model!$B$5-C87)-Model!$B$7</f>
        <v/>
      </c>
    </row>
    <row r="88">
      <c r="A88" t="n">
        <v>87</v>
      </c>
      <c r="B88" s="4">
        <f>MAX(0,_xlfn.NORM.INV(RAND(),Model!$B$4,Model!$B$11))</f>
        <v/>
      </c>
      <c r="C88" s="12">
        <f>Model!$B$12+(Model!$B$13-Model!$B$12)*RAND()</f>
        <v/>
      </c>
      <c r="D88" s="4">
        <f>MIN(B88,Model!$B$8)</f>
        <v/>
      </c>
      <c r="E88" s="6">
        <f>D88*(Model!$B$5-C88)-Model!$B$7</f>
        <v/>
      </c>
    </row>
    <row r="89">
      <c r="A89" t="n">
        <v>88</v>
      </c>
      <c r="B89" s="4">
        <f>MAX(0,_xlfn.NORM.INV(RAND(),Model!$B$4,Model!$B$11))</f>
        <v/>
      </c>
      <c r="C89" s="12">
        <f>Model!$B$12+(Model!$B$13-Model!$B$12)*RAND()</f>
        <v/>
      </c>
      <c r="D89" s="4">
        <f>MIN(B89,Model!$B$8)</f>
        <v/>
      </c>
      <c r="E89" s="6">
        <f>D89*(Model!$B$5-C89)-Model!$B$7</f>
        <v/>
      </c>
    </row>
    <row r="90">
      <c r="A90" t="n">
        <v>89</v>
      </c>
      <c r="B90" s="4">
        <f>MAX(0,_xlfn.NORM.INV(RAND(),Model!$B$4,Model!$B$11))</f>
        <v/>
      </c>
      <c r="C90" s="12">
        <f>Model!$B$12+(Model!$B$13-Model!$B$12)*RAND()</f>
        <v/>
      </c>
      <c r="D90" s="4">
        <f>MIN(B90,Model!$B$8)</f>
        <v/>
      </c>
      <c r="E90" s="6">
        <f>D90*(Model!$B$5-C90)-Model!$B$7</f>
        <v/>
      </c>
    </row>
    <row r="91">
      <c r="A91" t="n">
        <v>90</v>
      </c>
      <c r="B91" s="4">
        <f>MAX(0,_xlfn.NORM.INV(RAND(),Model!$B$4,Model!$B$11))</f>
        <v/>
      </c>
      <c r="C91" s="12">
        <f>Model!$B$12+(Model!$B$13-Model!$B$12)*RAND()</f>
        <v/>
      </c>
      <c r="D91" s="4">
        <f>MIN(B91,Model!$B$8)</f>
        <v/>
      </c>
      <c r="E91" s="6">
        <f>D91*(Model!$B$5-C91)-Model!$B$7</f>
        <v/>
      </c>
    </row>
    <row r="92">
      <c r="A92" t="n">
        <v>91</v>
      </c>
      <c r="B92" s="4">
        <f>MAX(0,_xlfn.NORM.INV(RAND(),Model!$B$4,Model!$B$11))</f>
        <v/>
      </c>
      <c r="C92" s="12">
        <f>Model!$B$12+(Model!$B$13-Model!$B$12)*RAND()</f>
        <v/>
      </c>
      <c r="D92" s="4">
        <f>MIN(B92,Model!$B$8)</f>
        <v/>
      </c>
      <c r="E92" s="6">
        <f>D92*(Model!$B$5-C92)-Model!$B$7</f>
        <v/>
      </c>
    </row>
    <row r="93">
      <c r="A93" t="n">
        <v>92</v>
      </c>
      <c r="B93" s="4">
        <f>MAX(0,_xlfn.NORM.INV(RAND(),Model!$B$4,Model!$B$11))</f>
        <v/>
      </c>
      <c r="C93" s="12">
        <f>Model!$B$12+(Model!$B$13-Model!$B$12)*RAND()</f>
        <v/>
      </c>
      <c r="D93" s="4">
        <f>MIN(B93,Model!$B$8)</f>
        <v/>
      </c>
      <c r="E93" s="6">
        <f>D93*(Model!$B$5-C93)-Model!$B$7</f>
        <v/>
      </c>
    </row>
    <row r="94">
      <c r="A94" t="n">
        <v>93</v>
      </c>
      <c r="B94" s="4">
        <f>MAX(0,_xlfn.NORM.INV(RAND(),Model!$B$4,Model!$B$11))</f>
        <v/>
      </c>
      <c r="C94" s="12">
        <f>Model!$B$12+(Model!$B$13-Model!$B$12)*RAND()</f>
        <v/>
      </c>
      <c r="D94" s="4">
        <f>MIN(B94,Model!$B$8)</f>
        <v/>
      </c>
      <c r="E94" s="6">
        <f>D94*(Model!$B$5-C94)-Model!$B$7</f>
        <v/>
      </c>
    </row>
    <row r="95">
      <c r="A95" t="n">
        <v>94</v>
      </c>
      <c r="B95" s="4">
        <f>MAX(0,_xlfn.NORM.INV(RAND(),Model!$B$4,Model!$B$11))</f>
        <v/>
      </c>
      <c r="C95" s="12">
        <f>Model!$B$12+(Model!$B$13-Model!$B$12)*RAND()</f>
        <v/>
      </c>
      <c r="D95" s="4">
        <f>MIN(B95,Model!$B$8)</f>
        <v/>
      </c>
      <c r="E95" s="6">
        <f>D95*(Model!$B$5-C95)-Model!$B$7</f>
        <v/>
      </c>
    </row>
    <row r="96">
      <c r="A96" t="n">
        <v>95</v>
      </c>
      <c r="B96" s="4">
        <f>MAX(0,_xlfn.NORM.INV(RAND(),Model!$B$4,Model!$B$11))</f>
        <v/>
      </c>
      <c r="C96" s="12">
        <f>Model!$B$12+(Model!$B$13-Model!$B$12)*RAND()</f>
        <v/>
      </c>
      <c r="D96" s="4">
        <f>MIN(B96,Model!$B$8)</f>
        <v/>
      </c>
      <c r="E96" s="6">
        <f>D96*(Model!$B$5-C96)-Model!$B$7</f>
        <v/>
      </c>
    </row>
    <row r="97">
      <c r="A97" t="n">
        <v>96</v>
      </c>
      <c r="B97" s="4">
        <f>MAX(0,_xlfn.NORM.INV(RAND(),Model!$B$4,Model!$B$11))</f>
        <v/>
      </c>
      <c r="C97" s="12">
        <f>Model!$B$12+(Model!$B$13-Model!$B$12)*RAND()</f>
        <v/>
      </c>
      <c r="D97" s="4">
        <f>MIN(B97,Model!$B$8)</f>
        <v/>
      </c>
      <c r="E97" s="6">
        <f>D97*(Model!$B$5-C97)-Model!$B$7</f>
        <v/>
      </c>
    </row>
    <row r="98">
      <c r="A98" t="n">
        <v>97</v>
      </c>
      <c r="B98" s="4">
        <f>MAX(0,_xlfn.NORM.INV(RAND(),Model!$B$4,Model!$B$11))</f>
        <v/>
      </c>
      <c r="C98" s="12">
        <f>Model!$B$12+(Model!$B$13-Model!$B$12)*RAND()</f>
        <v/>
      </c>
      <c r="D98" s="4">
        <f>MIN(B98,Model!$B$8)</f>
        <v/>
      </c>
      <c r="E98" s="6">
        <f>D98*(Model!$B$5-C98)-Model!$B$7</f>
        <v/>
      </c>
    </row>
    <row r="99">
      <c r="A99" t="n">
        <v>98</v>
      </c>
      <c r="B99" s="4">
        <f>MAX(0,_xlfn.NORM.INV(RAND(),Model!$B$4,Model!$B$11))</f>
        <v/>
      </c>
      <c r="C99" s="12">
        <f>Model!$B$12+(Model!$B$13-Model!$B$12)*RAND()</f>
        <v/>
      </c>
      <c r="D99" s="4">
        <f>MIN(B99,Model!$B$8)</f>
        <v/>
      </c>
      <c r="E99" s="6">
        <f>D99*(Model!$B$5-C99)-Model!$B$7</f>
        <v/>
      </c>
    </row>
    <row r="100">
      <c r="A100" t="n">
        <v>99</v>
      </c>
      <c r="B100" s="4">
        <f>MAX(0,_xlfn.NORM.INV(RAND(),Model!$B$4,Model!$B$11))</f>
        <v/>
      </c>
      <c r="C100" s="12">
        <f>Model!$B$12+(Model!$B$13-Model!$B$12)*RAND()</f>
        <v/>
      </c>
      <c r="D100" s="4">
        <f>MIN(B100,Model!$B$8)</f>
        <v/>
      </c>
      <c r="E100" s="6">
        <f>D100*(Model!$B$5-C100)-Model!$B$7</f>
        <v/>
      </c>
    </row>
    <row r="101">
      <c r="A101" t="n">
        <v>100</v>
      </c>
      <c r="B101" s="4">
        <f>MAX(0,_xlfn.NORM.INV(RAND(),Model!$B$4,Model!$B$11))</f>
        <v/>
      </c>
      <c r="C101" s="12">
        <f>Model!$B$12+(Model!$B$13-Model!$B$12)*RAND()</f>
        <v/>
      </c>
      <c r="D101" s="4">
        <f>MIN(B101,Model!$B$8)</f>
        <v/>
      </c>
      <c r="E101" s="6">
        <f>D101*(Model!$B$5-C101)-Model!$B$7</f>
        <v/>
      </c>
    </row>
    <row r="102">
      <c r="A102" t="n">
        <v>101</v>
      </c>
      <c r="B102" s="4">
        <f>MAX(0,_xlfn.NORM.INV(RAND(),Model!$B$4,Model!$B$11))</f>
        <v/>
      </c>
      <c r="C102" s="12">
        <f>Model!$B$12+(Model!$B$13-Model!$B$12)*RAND()</f>
        <v/>
      </c>
      <c r="D102" s="4">
        <f>MIN(B102,Model!$B$8)</f>
        <v/>
      </c>
      <c r="E102" s="6">
        <f>D102*(Model!$B$5-C102)-Model!$B$7</f>
        <v/>
      </c>
    </row>
    <row r="103">
      <c r="A103" t="n">
        <v>102</v>
      </c>
      <c r="B103" s="4">
        <f>MAX(0,_xlfn.NORM.INV(RAND(),Model!$B$4,Model!$B$11))</f>
        <v/>
      </c>
      <c r="C103" s="12">
        <f>Model!$B$12+(Model!$B$13-Model!$B$12)*RAND()</f>
        <v/>
      </c>
      <c r="D103" s="4">
        <f>MIN(B103,Model!$B$8)</f>
        <v/>
      </c>
      <c r="E103" s="6">
        <f>D103*(Model!$B$5-C103)-Model!$B$7</f>
        <v/>
      </c>
    </row>
    <row r="104">
      <c r="A104" t="n">
        <v>103</v>
      </c>
      <c r="B104" s="4">
        <f>MAX(0,_xlfn.NORM.INV(RAND(),Model!$B$4,Model!$B$11))</f>
        <v/>
      </c>
      <c r="C104" s="12">
        <f>Model!$B$12+(Model!$B$13-Model!$B$12)*RAND()</f>
        <v/>
      </c>
      <c r="D104" s="4">
        <f>MIN(B104,Model!$B$8)</f>
        <v/>
      </c>
      <c r="E104" s="6">
        <f>D104*(Model!$B$5-C104)-Model!$B$7</f>
        <v/>
      </c>
    </row>
    <row r="105">
      <c r="A105" t="n">
        <v>104</v>
      </c>
      <c r="B105" s="4">
        <f>MAX(0,_xlfn.NORM.INV(RAND(),Model!$B$4,Model!$B$11))</f>
        <v/>
      </c>
      <c r="C105" s="12">
        <f>Model!$B$12+(Model!$B$13-Model!$B$12)*RAND()</f>
        <v/>
      </c>
      <c r="D105" s="4">
        <f>MIN(B105,Model!$B$8)</f>
        <v/>
      </c>
      <c r="E105" s="6">
        <f>D105*(Model!$B$5-C105)-Model!$B$7</f>
        <v/>
      </c>
    </row>
    <row r="106">
      <c r="A106" t="n">
        <v>105</v>
      </c>
      <c r="B106" s="4">
        <f>MAX(0,_xlfn.NORM.INV(RAND(),Model!$B$4,Model!$B$11))</f>
        <v/>
      </c>
      <c r="C106" s="12">
        <f>Model!$B$12+(Model!$B$13-Model!$B$12)*RAND()</f>
        <v/>
      </c>
      <c r="D106" s="4">
        <f>MIN(B106,Model!$B$8)</f>
        <v/>
      </c>
      <c r="E106" s="6">
        <f>D106*(Model!$B$5-C106)-Model!$B$7</f>
        <v/>
      </c>
    </row>
    <row r="107">
      <c r="A107" t="n">
        <v>106</v>
      </c>
      <c r="B107" s="4">
        <f>MAX(0,_xlfn.NORM.INV(RAND(),Model!$B$4,Model!$B$11))</f>
        <v/>
      </c>
      <c r="C107" s="12">
        <f>Model!$B$12+(Model!$B$13-Model!$B$12)*RAND()</f>
        <v/>
      </c>
      <c r="D107" s="4">
        <f>MIN(B107,Model!$B$8)</f>
        <v/>
      </c>
      <c r="E107" s="6">
        <f>D107*(Model!$B$5-C107)-Model!$B$7</f>
        <v/>
      </c>
    </row>
    <row r="108">
      <c r="A108" t="n">
        <v>107</v>
      </c>
      <c r="B108" s="4">
        <f>MAX(0,_xlfn.NORM.INV(RAND(),Model!$B$4,Model!$B$11))</f>
        <v/>
      </c>
      <c r="C108" s="12">
        <f>Model!$B$12+(Model!$B$13-Model!$B$12)*RAND()</f>
        <v/>
      </c>
      <c r="D108" s="4">
        <f>MIN(B108,Model!$B$8)</f>
        <v/>
      </c>
      <c r="E108" s="6">
        <f>D108*(Model!$B$5-C108)-Model!$B$7</f>
        <v/>
      </c>
    </row>
    <row r="109">
      <c r="A109" t="n">
        <v>108</v>
      </c>
      <c r="B109" s="4">
        <f>MAX(0,_xlfn.NORM.INV(RAND(),Model!$B$4,Model!$B$11))</f>
        <v/>
      </c>
      <c r="C109" s="12">
        <f>Model!$B$12+(Model!$B$13-Model!$B$12)*RAND()</f>
        <v/>
      </c>
      <c r="D109" s="4">
        <f>MIN(B109,Model!$B$8)</f>
        <v/>
      </c>
      <c r="E109" s="6">
        <f>D109*(Model!$B$5-C109)-Model!$B$7</f>
        <v/>
      </c>
    </row>
    <row r="110">
      <c r="A110" t="n">
        <v>109</v>
      </c>
      <c r="B110" s="4">
        <f>MAX(0,_xlfn.NORM.INV(RAND(),Model!$B$4,Model!$B$11))</f>
        <v/>
      </c>
      <c r="C110" s="12">
        <f>Model!$B$12+(Model!$B$13-Model!$B$12)*RAND()</f>
        <v/>
      </c>
      <c r="D110" s="4">
        <f>MIN(B110,Model!$B$8)</f>
        <v/>
      </c>
      <c r="E110" s="6">
        <f>D110*(Model!$B$5-C110)-Model!$B$7</f>
        <v/>
      </c>
    </row>
    <row r="111">
      <c r="A111" t="n">
        <v>110</v>
      </c>
      <c r="B111" s="4">
        <f>MAX(0,_xlfn.NORM.INV(RAND(),Model!$B$4,Model!$B$11))</f>
        <v/>
      </c>
      <c r="C111" s="12">
        <f>Model!$B$12+(Model!$B$13-Model!$B$12)*RAND()</f>
        <v/>
      </c>
      <c r="D111" s="4">
        <f>MIN(B111,Model!$B$8)</f>
        <v/>
      </c>
      <c r="E111" s="6">
        <f>D111*(Model!$B$5-C111)-Model!$B$7</f>
        <v/>
      </c>
    </row>
    <row r="112">
      <c r="A112" t="n">
        <v>111</v>
      </c>
      <c r="B112" s="4">
        <f>MAX(0,_xlfn.NORM.INV(RAND(),Model!$B$4,Model!$B$11))</f>
        <v/>
      </c>
      <c r="C112" s="12">
        <f>Model!$B$12+(Model!$B$13-Model!$B$12)*RAND()</f>
        <v/>
      </c>
      <c r="D112" s="4">
        <f>MIN(B112,Model!$B$8)</f>
        <v/>
      </c>
      <c r="E112" s="6">
        <f>D112*(Model!$B$5-C112)-Model!$B$7</f>
        <v/>
      </c>
    </row>
    <row r="113">
      <c r="A113" t="n">
        <v>112</v>
      </c>
      <c r="B113" s="4">
        <f>MAX(0,_xlfn.NORM.INV(RAND(),Model!$B$4,Model!$B$11))</f>
        <v/>
      </c>
      <c r="C113" s="12">
        <f>Model!$B$12+(Model!$B$13-Model!$B$12)*RAND()</f>
        <v/>
      </c>
      <c r="D113" s="4">
        <f>MIN(B113,Model!$B$8)</f>
        <v/>
      </c>
      <c r="E113" s="6">
        <f>D113*(Model!$B$5-C113)-Model!$B$7</f>
        <v/>
      </c>
    </row>
    <row r="114">
      <c r="A114" t="n">
        <v>113</v>
      </c>
      <c r="B114" s="4">
        <f>MAX(0,_xlfn.NORM.INV(RAND(),Model!$B$4,Model!$B$11))</f>
        <v/>
      </c>
      <c r="C114" s="12">
        <f>Model!$B$12+(Model!$B$13-Model!$B$12)*RAND()</f>
        <v/>
      </c>
      <c r="D114" s="4">
        <f>MIN(B114,Model!$B$8)</f>
        <v/>
      </c>
      <c r="E114" s="6">
        <f>D114*(Model!$B$5-C114)-Model!$B$7</f>
        <v/>
      </c>
    </row>
    <row r="115">
      <c r="A115" t="n">
        <v>114</v>
      </c>
      <c r="B115" s="4">
        <f>MAX(0,_xlfn.NORM.INV(RAND(),Model!$B$4,Model!$B$11))</f>
        <v/>
      </c>
      <c r="C115" s="12">
        <f>Model!$B$12+(Model!$B$13-Model!$B$12)*RAND()</f>
        <v/>
      </c>
      <c r="D115" s="4">
        <f>MIN(B115,Model!$B$8)</f>
        <v/>
      </c>
      <c r="E115" s="6">
        <f>D115*(Model!$B$5-C115)-Model!$B$7</f>
        <v/>
      </c>
    </row>
    <row r="116">
      <c r="A116" t="n">
        <v>115</v>
      </c>
      <c r="B116" s="4">
        <f>MAX(0,_xlfn.NORM.INV(RAND(),Model!$B$4,Model!$B$11))</f>
        <v/>
      </c>
      <c r="C116" s="12">
        <f>Model!$B$12+(Model!$B$13-Model!$B$12)*RAND()</f>
        <v/>
      </c>
      <c r="D116" s="4">
        <f>MIN(B116,Model!$B$8)</f>
        <v/>
      </c>
      <c r="E116" s="6">
        <f>D116*(Model!$B$5-C116)-Model!$B$7</f>
        <v/>
      </c>
    </row>
    <row r="117">
      <c r="A117" t="n">
        <v>116</v>
      </c>
      <c r="B117" s="4">
        <f>MAX(0,_xlfn.NORM.INV(RAND(),Model!$B$4,Model!$B$11))</f>
        <v/>
      </c>
      <c r="C117" s="12">
        <f>Model!$B$12+(Model!$B$13-Model!$B$12)*RAND()</f>
        <v/>
      </c>
      <c r="D117" s="4">
        <f>MIN(B117,Model!$B$8)</f>
        <v/>
      </c>
      <c r="E117" s="6">
        <f>D117*(Model!$B$5-C117)-Model!$B$7</f>
        <v/>
      </c>
    </row>
    <row r="118">
      <c r="A118" t="n">
        <v>117</v>
      </c>
      <c r="B118" s="4">
        <f>MAX(0,_xlfn.NORM.INV(RAND(),Model!$B$4,Model!$B$11))</f>
        <v/>
      </c>
      <c r="C118" s="12">
        <f>Model!$B$12+(Model!$B$13-Model!$B$12)*RAND()</f>
        <v/>
      </c>
      <c r="D118" s="4">
        <f>MIN(B118,Model!$B$8)</f>
        <v/>
      </c>
      <c r="E118" s="6">
        <f>D118*(Model!$B$5-C118)-Model!$B$7</f>
        <v/>
      </c>
    </row>
    <row r="119">
      <c r="A119" t="n">
        <v>118</v>
      </c>
      <c r="B119" s="4">
        <f>MAX(0,_xlfn.NORM.INV(RAND(),Model!$B$4,Model!$B$11))</f>
        <v/>
      </c>
      <c r="C119" s="12">
        <f>Model!$B$12+(Model!$B$13-Model!$B$12)*RAND()</f>
        <v/>
      </c>
      <c r="D119" s="4">
        <f>MIN(B119,Model!$B$8)</f>
        <v/>
      </c>
      <c r="E119" s="6">
        <f>D119*(Model!$B$5-C119)-Model!$B$7</f>
        <v/>
      </c>
    </row>
    <row r="120">
      <c r="A120" t="n">
        <v>119</v>
      </c>
      <c r="B120" s="4">
        <f>MAX(0,_xlfn.NORM.INV(RAND(),Model!$B$4,Model!$B$11))</f>
        <v/>
      </c>
      <c r="C120" s="12">
        <f>Model!$B$12+(Model!$B$13-Model!$B$12)*RAND()</f>
        <v/>
      </c>
      <c r="D120" s="4">
        <f>MIN(B120,Model!$B$8)</f>
        <v/>
      </c>
      <c r="E120" s="6">
        <f>D120*(Model!$B$5-C120)-Model!$B$7</f>
        <v/>
      </c>
    </row>
    <row r="121">
      <c r="A121" t="n">
        <v>120</v>
      </c>
      <c r="B121" s="4">
        <f>MAX(0,_xlfn.NORM.INV(RAND(),Model!$B$4,Model!$B$11))</f>
        <v/>
      </c>
      <c r="C121" s="12">
        <f>Model!$B$12+(Model!$B$13-Model!$B$12)*RAND()</f>
        <v/>
      </c>
      <c r="D121" s="4">
        <f>MIN(B121,Model!$B$8)</f>
        <v/>
      </c>
      <c r="E121" s="6">
        <f>D121*(Model!$B$5-C121)-Model!$B$7</f>
        <v/>
      </c>
    </row>
    <row r="122">
      <c r="A122" t="n">
        <v>121</v>
      </c>
      <c r="B122" s="4">
        <f>MAX(0,_xlfn.NORM.INV(RAND(),Model!$B$4,Model!$B$11))</f>
        <v/>
      </c>
      <c r="C122" s="12">
        <f>Model!$B$12+(Model!$B$13-Model!$B$12)*RAND()</f>
        <v/>
      </c>
      <c r="D122" s="4">
        <f>MIN(B122,Model!$B$8)</f>
        <v/>
      </c>
      <c r="E122" s="6">
        <f>D122*(Model!$B$5-C122)-Model!$B$7</f>
        <v/>
      </c>
    </row>
    <row r="123">
      <c r="A123" t="n">
        <v>122</v>
      </c>
      <c r="B123" s="4">
        <f>MAX(0,_xlfn.NORM.INV(RAND(),Model!$B$4,Model!$B$11))</f>
        <v/>
      </c>
      <c r="C123" s="12">
        <f>Model!$B$12+(Model!$B$13-Model!$B$12)*RAND()</f>
        <v/>
      </c>
      <c r="D123" s="4">
        <f>MIN(B123,Model!$B$8)</f>
        <v/>
      </c>
      <c r="E123" s="6">
        <f>D123*(Model!$B$5-C123)-Model!$B$7</f>
        <v/>
      </c>
    </row>
    <row r="124">
      <c r="A124" t="n">
        <v>123</v>
      </c>
      <c r="B124" s="4">
        <f>MAX(0,_xlfn.NORM.INV(RAND(),Model!$B$4,Model!$B$11))</f>
        <v/>
      </c>
      <c r="C124" s="12">
        <f>Model!$B$12+(Model!$B$13-Model!$B$12)*RAND()</f>
        <v/>
      </c>
      <c r="D124" s="4">
        <f>MIN(B124,Model!$B$8)</f>
        <v/>
      </c>
      <c r="E124" s="6">
        <f>D124*(Model!$B$5-C124)-Model!$B$7</f>
        <v/>
      </c>
    </row>
    <row r="125">
      <c r="A125" t="n">
        <v>124</v>
      </c>
      <c r="B125" s="4">
        <f>MAX(0,_xlfn.NORM.INV(RAND(),Model!$B$4,Model!$B$11))</f>
        <v/>
      </c>
      <c r="C125" s="12">
        <f>Model!$B$12+(Model!$B$13-Model!$B$12)*RAND()</f>
        <v/>
      </c>
      <c r="D125" s="4">
        <f>MIN(B125,Model!$B$8)</f>
        <v/>
      </c>
      <c r="E125" s="6">
        <f>D125*(Model!$B$5-C125)-Model!$B$7</f>
        <v/>
      </c>
    </row>
    <row r="126">
      <c r="A126" t="n">
        <v>125</v>
      </c>
      <c r="B126" s="4">
        <f>MAX(0,_xlfn.NORM.INV(RAND(),Model!$B$4,Model!$B$11))</f>
        <v/>
      </c>
      <c r="C126" s="12">
        <f>Model!$B$12+(Model!$B$13-Model!$B$12)*RAND()</f>
        <v/>
      </c>
      <c r="D126" s="4">
        <f>MIN(B126,Model!$B$8)</f>
        <v/>
      </c>
      <c r="E126" s="6">
        <f>D126*(Model!$B$5-C126)-Model!$B$7</f>
        <v/>
      </c>
    </row>
    <row r="127">
      <c r="A127" t="n">
        <v>126</v>
      </c>
      <c r="B127" s="4">
        <f>MAX(0,_xlfn.NORM.INV(RAND(),Model!$B$4,Model!$B$11))</f>
        <v/>
      </c>
      <c r="C127" s="12">
        <f>Model!$B$12+(Model!$B$13-Model!$B$12)*RAND()</f>
        <v/>
      </c>
      <c r="D127" s="4">
        <f>MIN(B127,Model!$B$8)</f>
        <v/>
      </c>
      <c r="E127" s="6">
        <f>D127*(Model!$B$5-C127)-Model!$B$7</f>
        <v/>
      </c>
    </row>
    <row r="128">
      <c r="A128" t="n">
        <v>127</v>
      </c>
      <c r="B128" s="4">
        <f>MAX(0,_xlfn.NORM.INV(RAND(),Model!$B$4,Model!$B$11))</f>
        <v/>
      </c>
      <c r="C128" s="12">
        <f>Model!$B$12+(Model!$B$13-Model!$B$12)*RAND()</f>
        <v/>
      </c>
      <c r="D128" s="4">
        <f>MIN(B128,Model!$B$8)</f>
        <v/>
      </c>
      <c r="E128" s="6">
        <f>D128*(Model!$B$5-C128)-Model!$B$7</f>
        <v/>
      </c>
    </row>
    <row r="129">
      <c r="A129" t="n">
        <v>128</v>
      </c>
      <c r="B129" s="4">
        <f>MAX(0,_xlfn.NORM.INV(RAND(),Model!$B$4,Model!$B$11))</f>
        <v/>
      </c>
      <c r="C129" s="12">
        <f>Model!$B$12+(Model!$B$13-Model!$B$12)*RAND()</f>
        <v/>
      </c>
      <c r="D129" s="4">
        <f>MIN(B129,Model!$B$8)</f>
        <v/>
      </c>
      <c r="E129" s="6">
        <f>D129*(Model!$B$5-C129)-Model!$B$7</f>
        <v/>
      </c>
    </row>
    <row r="130">
      <c r="A130" t="n">
        <v>129</v>
      </c>
      <c r="B130" s="4">
        <f>MAX(0,_xlfn.NORM.INV(RAND(),Model!$B$4,Model!$B$11))</f>
        <v/>
      </c>
      <c r="C130" s="12">
        <f>Model!$B$12+(Model!$B$13-Model!$B$12)*RAND()</f>
        <v/>
      </c>
      <c r="D130" s="4">
        <f>MIN(B130,Model!$B$8)</f>
        <v/>
      </c>
      <c r="E130" s="6">
        <f>D130*(Model!$B$5-C130)-Model!$B$7</f>
        <v/>
      </c>
    </row>
    <row r="131">
      <c r="A131" t="n">
        <v>130</v>
      </c>
      <c r="B131" s="4">
        <f>MAX(0,_xlfn.NORM.INV(RAND(),Model!$B$4,Model!$B$11))</f>
        <v/>
      </c>
      <c r="C131" s="12">
        <f>Model!$B$12+(Model!$B$13-Model!$B$12)*RAND()</f>
        <v/>
      </c>
      <c r="D131" s="4">
        <f>MIN(B131,Model!$B$8)</f>
        <v/>
      </c>
      <c r="E131" s="6">
        <f>D131*(Model!$B$5-C131)-Model!$B$7</f>
        <v/>
      </c>
    </row>
    <row r="132">
      <c r="A132" t="n">
        <v>131</v>
      </c>
      <c r="B132" s="4">
        <f>MAX(0,_xlfn.NORM.INV(RAND(),Model!$B$4,Model!$B$11))</f>
        <v/>
      </c>
      <c r="C132" s="12">
        <f>Model!$B$12+(Model!$B$13-Model!$B$12)*RAND()</f>
        <v/>
      </c>
      <c r="D132" s="4">
        <f>MIN(B132,Model!$B$8)</f>
        <v/>
      </c>
      <c r="E132" s="6">
        <f>D132*(Model!$B$5-C132)-Model!$B$7</f>
        <v/>
      </c>
    </row>
    <row r="133">
      <c r="A133" t="n">
        <v>132</v>
      </c>
      <c r="B133" s="4">
        <f>MAX(0,_xlfn.NORM.INV(RAND(),Model!$B$4,Model!$B$11))</f>
        <v/>
      </c>
      <c r="C133" s="12">
        <f>Model!$B$12+(Model!$B$13-Model!$B$12)*RAND()</f>
        <v/>
      </c>
      <c r="D133" s="4">
        <f>MIN(B133,Model!$B$8)</f>
        <v/>
      </c>
      <c r="E133" s="6">
        <f>D133*(Model!$B$5-C133)-Model!$B$7</f>
        <v/>
      </c>
    </row>
    <row r="134">
      <c r="A134" t="n">
        <v>133</v>
      </c>
      <c r="B134" s="4">
        <f>MAX(0,_xlfn.NORM.INV(RAND(),Model!$B$4,Model!$B$11))</f>
        <v/>
      </c>
      <c r="C134" s="12">
        <f>Model!$B$12+(Model!$B$13-Model!$B$12)*RAND()</f>
        <v/>
      </c>
      <c r="D134" s="4">
        <f>MIN(B134,Model!$B$8)</f>
        <v/>
      </c>
      <c r="E134" s="6">
        <f>D134*(Model!$B$5-C134)-Model!$B$7</f>
        <v/>
      </c>
    </row>
    <row r="135">
      <c r="A135" t="n">
        <v>134</v>
      </c>
      <c r="B135" s="4">
        <f>MAX(0,_xlfn.NORM.INV(RAND(),Model!$B$4,Model!$B$11))</f>
        <v/>
      </c>
      <c r="C135" s="12">
        <f>Model!$B$12+(Model!$B$13-Model!$B$12)*RAND()</f>
        <v/>
      </c>
      <c r="D135" s="4">
        <f>MIN(B135,Model!$B$8)</f>
        <v/>
      </c>
      <c r="E135" s="6">
        <f>D135*(Model!$B$5-C135)-Model!$B$7</f>
        <v/>
      </c>
    </row>
    <row r="136">
      <c r="A136" t="n">
        <v>135</v>
      </c>
      <c r="B136" s="4">
        <f>MAX(0,_xlfn.NORM.INV(RAND(),Model!$B$4,Model!$B$11))</f>
        <v/>
      </c>
      <c r="C136" s="12">
        <f>Model!$B$12+(Model!$B$13-Model!$B$12)*RAND()</f>
        <v/>
      </c>
      <c r="D136" s="4">
        <f>MIN(B136,Model!$B$8)</f>
        <v/>
      </c>
      <c r="E136" s="6">
        <f>D136*(Model!$B$5-C136)-Model!$B$7</f>
        <v/>
      </c>
    </row>
    <row r="137">
      <c r="A137" t="n">
        <v>136</v>
      </c>
      <c r="B137" s="4">
        <f>MAX(0,_xlfn.NORM.INV(RAND(),Model!$B$4,Model!$B$11))</f>
        <v/>
      </c>
      <c r="C137" s="12">
        <f>Model!$B$12+(Model!$B$13-Model!$B$12)*RAND()</f>
        <v/>
      </c>
      <c r="D137" s="4">
        <f>MIN(B137,Model!$B$8)</f>
        <v/>
      </c>
      <c r="E137" s="6">
        <f>D137*(Model!$B$5-C137)-Model!$B$7</f>
        <v/>
      </c>
    </row>
    <row r="138">
      <c r="A138" t="n">
        <v>137</v>
      </c>
      <c r="B138" s="4">
        <f>MAX(0,_xlfn.NORM.INV(RAND(),Model!$B$4,Model!$B$11))</f>
        <v/>
      </c>
      <c r="C138" s="12">
        <f>Model!$B$12+(Model!$B$13-Model!$B$12)*RAND()</f>
        <v/>
      </c>
      <c r="D138" s="4">
        <f>MIN(B138,Model!$B$8)</f>
        <v/>
      </c>
      <c r="E138" s="6">
        <f>D138*(Model!$B$5-C138)-Model!$B$7</f>
        <v/>
      </c>
    </row>
    <row r="139">
      <c r="A139" t="n">
        <v>138</v>
      </c>
      <c r="B139" s="4">
        <f>MAX(0,_xlfn.NORM.INV(RAND(),Model!$B$4,Model!$B$11))</f>
        <v/>
      </c>
      <c r="C139" s="12">
        <f>Model!$B$12+(Model!$B$13-Model!$B$12)*RAND()</f>
        <v/>
      </c>
      <c r="D139" s="4">
        <f>MIN(B139,Model!$B$8)</f>
        <v/>
      </c>
      <c r="E139" s="6">
        <f>D139*(Model!$B$5-C139)-Model!$B$7</f>
        <v/>
      </c>
    </row>
    <row r="140">
      <c r="A140" t="n">
        <v>139</v>
      </c>
      <c r="B140" s="4">
        <f>MAX(0,_xlfn.NORM.INV(RAND(),Model!$B$4,Model!$B$11))</f>
        <v/>
      </c>
      <c r="C140" s="12">
        <f>Model!$B$12+(Model!$B$13-Model!$B$12)*RAND()</f>
        <v/>
      </c>
      <c r="D140" s="4">
        <f>MIN(B140,Model!$B$8)</f>
        <v/>
      </c>
      <c r="E140" s="6">
        <f>D140*(Model!$B$5-C140)-Model!$B$7</f>
        <v/>
      </c>
    </row>
    <row r="141">
      <c r="A141" t="n">
        <v>140</v>
      </c>
      <c r="B141" s="4">
        <f>MAX(0,_xlfn.NORM.INV(RAND(),Model!$B$4,Model!$B$11))</f>
        <v/>
      </c>
      <c r="C141" s="12">
        <f>Model!$B$12+(Model!$B$13-Model!$B$12)*RAND()</f>
        <v/>
      </c>
      <c r="D141" s="4">
        <f>MIN(B141,Model!$B$8)</f>
        <v/>
      </c>
      <c r="E141" s="6">
        <f>D141*(Model!$B$5-C141)-Model!$B$7</f>
        <v/>
      </c>
    </row>
    <row r="142">
      <c r="A142" t="n">
        <v>141</v>
      </c>
      <c r="B142" s="4">
        <f>MAX(0,_xlfn.NORM.INV(RAND(),Model!$B$4,Model!$B$11))</f>
        <v/>
      </c>
      <c r="C142" s="12">
        <f>Model!$B$12+(Model!$B$13-Model!$B$12)*RAND()</f>
        <v/>
      </c>
      <c r="D142" s="4">
        <f>MIN(B142,Model!$B$8)</f>
        <v/>
      </c>
      <c r="E142" s="6">
        <f>D142*(Model!$B$5-C142)-Model!$B$7</f>
        <v/>
      </c>
    </row>
    <row r="143">
      <c r="A143" t="n">
        <v>142</v>
      </c>
      <c r="B143" s="4">
        <f>MAX(0,_xlfn.NORM.INV(RAND(),Model!$B$4,Model!$B$11))</f>
        <v/>
      </c>
      <c r="C143" s="12">
        <f>Model!$B$12+(Model!$B$13-Model!$B$12)*RAND()</f>
        <v/>
      </c>
      <c r="D143" s="4">
        <f>MIN(B143,Model!$B$8)</f>
        <v/>
      </c>
      <c r="E143" s="6">
        <f>D143*(Model!$B$5-C143)-Model!$B$7</f>
        <v/>
      </c>
    </row>
    <row r="144">
      <c r="A144" t="n">
        <v>143</v>
      </c>
      <c r="B144" s="4">
        <f>MAX(0,_xlfn.NORM.INV(RAND(),Model!$B$4,Model!$B$11))</f>
        <v/>
      </c>
      <c r="C144" s="12">
        <f>Model!$B$12+(Model!$B$13-Model!$B$12)*RAND()</f>
        <v/>
      </c>
      <c r="D144" s="4">
        <f>MIN(B144,Model!$B$8)</f>
        <v/>
      </c>
      <c r="E144" s="6">
        <f>D144*(Model!$B$5-C144)-Model!$B$7</f>
        <v/>
      </c>
    </row>
    <row r="145">
      <c r="A145" t="n">
        <v>144</v>
      </c>
      <c r="B145" s="4">
        <f>MAX(0,_xlfn.NORM.INV(RAND(),Model!$B$4,Model!$B$11))</f>
        <v/>
      </c>
      <c r="C145" s="12">
        <f>Model!$B$12+(Model!$B$13-Model!$B$12)*RAND()</f>
        <v/>
      </c>
      <c r="D145" s="4">
        <f>MIN(B145,Model!$B$8)</f>
        <v/>
      </c>
      <c r="E145" s="6">
        <f>D145*(Model!$B$5-C145)-Model!$B$7</f>
        <v/>
      </c>
    </row>
    <row r="146">
      <c r="A146" t="n">
        <v>145</v>
      </c>
      <c r="B146" s="4">
        <f>MAX(0,_xlfn.NORM.INV(RAND(),Model!$B$4,Model!$B$11))</f>
        <v/>
      </c>
      <c r="C146" s="12">
        <f>Model!$B$12+(Model!$B$13-Model!$B$12)*RAND()</f>
        <v/>
      </c>
      <c r="D146" s="4">
        <f>MIN(B146,Model!$B$8)</f>
        <v/>
      </c>
      <c r="E146" s="6">
        <f>D146*(Model!$B$5-C146)-Model!$B$7</f>
        <v/>
      </c>
    </row>
    <row r="147">
      <c r="A147" t="n">
        <v>146</v>
      </c>
      <c r="B147" s="4">
        <f>MAX(0,_xlfn.NORM.INV(RAND(),Model!$B$4,Model!$B$11))</f>
        <v/>
      </c>
      <c r="C147" s="12">
        <f>Model!$B$12+(Model!$B$13-Model!$B$12)*RAND()</f>
        <v/>
      </c>
      <c r="D147" s="4">
        <f>MIN(B147,Model!$B$8)</f>
        <v/>
      </c>
      <c r="E147" s="6">
        <f>D147*(Model!$B$5-C147)-Model!$B$7</f>
        <v/>
      </c>
    </row>
    <row r="148">
      <c r="A148" t="n">
        <v>147</v>
      </c>
      <c r="B148" s="4">
        <f>MAX(0,_xlfn.NORM.INV(RAND(),Model!$B$4,Model!$B$11))</f>
        <v/>
      </c>
      <c r="C148" s="12">
        <f>Model!$B$12+(Model!$B$13-Model!$B$12)*RAND()</f>
        <v/>
      </c>
      <c r="D148" s="4">
        <f>MIN(B148,Model!$B$8)</f>
        <v/>
      </c>
      <c r="E148" s="6">
        <f>D148*(Model!$B$5-C148)-Model!$B$7</f>
        <v/>
      </c>
    </row>
    <row r="149">
      <c r="A149" t="n">
        <v>148</v>
      </c>
      <c r="B149" s="4">
        <f>MAX(0,_xlfn.NORM.INV(RAND(),Model!$B$4,Model!$B$11))</f>
        <v/>
      </c>
      <c r="C149" s="12">
        <f>Model!$B$12+(Model!$B$13-Model!$B$12)*RAND()</f>
        <v/>
      </c>
      <c r="D149" s="4">
        <f>MIN(B149,Model!$B$8)</f>
        <v/>
      </c>
      <c r="E149" s="6">
        <f>D149*(Model!$B$5-C149)-Model!$B$7</f>
        <v/>
      </c>
    </row>
    <row r="150">
      <c r="A150" t="n">
        <v>149</v>
      </c>
      <c r="B150" s="4">
        <f>MAX(0,_xlfn.NORM.INV(RAND(),Model!$B$4,Model!$B$11))</f>
        <v/>
      </c>
      <c r="C150" s="12">
        <f>Model!$B$12+(Model!$B$13-Model!$B$12)*RAND()</f>
        <v/>
      </c>
      <c r="D150" s="4">
        <f>MIN(B150,Model!$B$8)</f>
        <v/>
      </c>
      <c r="E150" s="6">
        <f>D150*(Model!$B$5-C150)-Model!$B$7</f>
        <v/>
      </c>
    </row>
    <row r="151">
      <c r="A151" t="n">
        <v>150</v>
      </c>
      <c r="B151" s="4">
        <f>MAX(0,_xlfn.NORM.INV(RAND(),Model!$B$4,Model!$B$11))</f>
        <v/>
      </c>
      <c r="C151" s="12">
        <f>Model!$B$12+(Model!$B$13-Model!$B$12)*RAND()</f>
        <v/>
      </c>
      <c r="D151" s="4">
        <f>MIN(B151,Model!$B$8)</f>
        <v/>
      </c>
      <c r="E151" s="6">
        <f>D151*(Model!$B$5-C151)-Model!$B$7</f>
        <v/>
      </c>
    </row>
    <row r="152">
      <c r="A152" t="n">
        <v>151</v>
      </c>
      <c r="B152" s="4">
        <f>MAX(0,_xlfn.NORM.INV(RAND(),Model!$B$4,Model!$B$11))</f>
        <v/>
      </c>
      <c r="C152" s="12">
        <f>Model!$B$12+(Model!$B$13-Model!$B$12)*RAND()</f>
        <v/>
      </c>
      <c r="D152" s="4">
        <f>MIN(B152,Model!$B$8)</f>
        <v/>
      </c>
      <c r="E152" s="6">
        <f>D152*(Model!$B$5-C152)-Model!$B$7</f>
        <v/>
      </c>
    </row>
    <row r="153">
      <c r="A153" t="n">
        <v>152</v>
      </c>
      <c r="B153" s="4">
        <f>MAX(0,_xlfn.NORM.INV(RAND(),Model!$B$4,Model!$B$11))</f>
        <v/>
      </c>
      <c r="C153" s="12">
        <f>Model!$B$12+(Model!$B$13-Model!$B$12)*RAND()</f>
        <v/>
      </c>
      <c r="D153" s="4">
        <f>MIN(B153,Model!$B$8)</f>
        <v/>
      </c>
      <c r="E153" s="6">
        <f>D153*(Model!$B$5-C153)-Model!$B$7</f>
        <v/>
      </c>
    </row>
    <row r="154">
      <c r="A154" t="n">
        <v>153</v>
      </c>
      <c r="B154" s="4">
        <f>MAX(0,_xlfn.NORM.INV(RAND(),Model!$B$4,Model!$B$11))</f>
        <v/>
      </c>
      <c r="C154" s="12">
        <f>Model!$B$12+(Model!$B$13-Model!$B$12)*RAND()</f>
        <v/>
      </c>
      <c r="D154" s="4">
        <f>MIN(B154,Model!$B$8)</f>
        <v/>
      </c>
      <c r="E154" s="6">
        <f>D154*(Model!$B$5-C154)-Model!$B$7</f>
        <v/>
      </c>
    </row>
    <row r="155">
      <c r="A155" t="n">
        <v>154</v>
      </c>
      <c r="B155" s="4">
        <f>MAX(0,_xlfn.NORM.INV(RAND(),Model!$B$4,Model!$B$11))</f>
        <v/>
      </c>
      <c r="C155" s="12">
        <f>Model!$B$12+(Model!$B$13-Model!$B$12)*RAND()</f>
        <v/>
      </c>
      <c r="D155" s="4">
        <f>MIN(B155,Model!$B$8)</f>
        <v/>
      </c>
      <c r="E155" s="6">
        <f>D155*(Model!$B$5-C155)-Model!$B$7</f>
        <v/>
      </c>
    </row>
    <row r="156">
      <c r="A156" t="n">
        <v>155</v>
      </c>
      <c r="B156" s="4">
        <f>MAX(0,_xlfn.NORM.INV(RAND(),Model!$B$4,Model!$B$11))</f>
        <v/>
      </c>
      <c r="C156" s="12">
        <f>Model!$B$12+(Model!$B$13-Model!$B$12)*RAND()</f>
        <v/>
      </c>
      <c r="D156" s="4">
        <f>MIN(B156,Model!$B$8)</f>
        <v/>
      </c>
      <c r="E156" s="6">
        <f>D156*(Model!$B$5-C156)-Model!$B$7</f>
        <v/>
      </c>
    </row>
    <row r="157">
      <c r="A157" t="n">
        <v>156</v>
      </c>
      <c r="B157" s="4">
        <f>MAX(0,_xlfn.NORM.INV(RAND(),Model!$B$4,Model!$B$11))</f>
        <v/>
      </c>
      <c r="C157" s="12">
        <f>Model!$B$12+(Model!$B$13-Model!$B$12)*RAND()</f>
        <v/>
      </c>
      <c r="D157" s="4">
        <f>MIN(B157,Model!$B$8)</f>
        <v/>
      </c>
      <c r="E157" s="6">
        <f>D157*(Model!$B$5-C157)-Model!$B$7</f>
        <v/>
      </c>
    </row>
    <row r="158">
      <c r="A158" t="n">
        <v>157</v>
      </c>
      <c r="B158" s="4">
        <f>MAX(0,_xlfn.NORM.INV(RAND(),Model!$B$4,Model!$B$11))</f>
        <v/>
      </c>
      <c r="C158" s="12">
        <f>Model!$B$12+(Model!$B$13-Model!$B$12)*RAND()</f>
        <v/>
      </c>
      <c r="D158" s="4">
        <f>MIN(B158,Model!$B$8)</f>
        <v/>
      </c>
      <c r="E158" s="6">
        <f>D158*(Model!$B$5-C158)-Model!$B$7</f>
        <v/>
      </c>
    </row>
    <row r="159">
      <c r="A159" t="n">
        <v>158</v>
      </c>
      <c r="B159" s="4">
        <f>MAX(0,_xlfn.NORM.INV(RAND(),Model!$B$4,Model!$B$11))</f>
        <v/>
      </c>
      <c r="C159" s="12">
        <f>Model!$B$12+(Model!$B$13-Model!$B$12)*RAND()</f>
        <v/>
      </c>
      <c r="D159" s="4">
        <f>MIN(B159,Model!$B$8)</f>
        <v/>
      </c>
      <c r="E159" s="6">
        <f>D159*(Model!$B$5-C159)-Model!$B$7</f>
        <v/>
      </c>
    </row>
    <row r="160">
      <c r="A160" t="n">
        <v>159</v>
      </c>
      <c r="B160" s="4">
        <f>MAX(0,_xlfn.NORM.INV(RAND(),Model!$B$4,Model!$B$11))</f>
        <v/>
      </c>
      <c r="C160" s="12">
        <f>Model!$B$12+(Model!$B$13-Model!$B$12)*RAND()</f>
        <v/>
      </c>
      <c r="D160" s="4">
        <f>MIN(B160,Model!$B$8)</f>
        <v/>
      </c>
      <c r="E160" s="6">
        <f>D160*(Model!$B$5-C160)-Model!$B$7</f>
        <v/>
      </c>
    </row>
    <row r="161">
      <c r="A161" t="n">
        <v>160</v>
      </c>
      <c r="B161" s="4">
        <f>MAX(0,_xlfn.NORM.INV(RAND(),Model!$B$4,Model!$B$11))</f>
        <v/>
      </c>
      <c r="C161" s="12">
        <f>Model!$B$12+(Model!$B$13-Model!$B$12)*RAND()</f>
        <v/>
      </c>
      <c r="D161" s="4">
        <f>MIN(B161,Model!$B$8)</f>
        <v/>
      </c>
      <c r="E161" s="6">
        <f>D161*(Model!$B$5-C161)-Model!$B$7</f>
        <v/>
      </c>
    </row>
    <row r="162">
      <c r="A162" t="n">
        <v>161</v>
      </c>
      <c r="B162" s="4">
        <f>MAX(0,_xlfn.NORM.INV(RAND(),Model!$B$4,Model!$B$11))</f>
        <v/>
      </c>
      <c r="C162" s="12">
        <f>Model!$B$12+(Model!$B$13-Model!$B$12)*RAND()</f>
        <v/>
      </c>
      <c r="D162" s="4">
        <f>MIN(B162,Model!$B$8)</f>
        <v/>
      </c>
      <c r="E162" s="6">
        <f>D162*(Model!$B$5-C162)-Model!$B$7</f>
        <v/>
      </c>
    </row>
    <row r="163">
      <c r="A163" t="n">
        <v>162</v>
      </c>
      <c r="B163" s="4">
        <f>MAX(0,_xlfn.NORM.INV(RAND(),Model!$B$4,Model!$B$11))</f>
        <v/>
      </c>
      <c r="C163" s="12">
        <f>Model!$B$12+(Model!$B$13-Model!$B$12)*RAND()</f>
        <v/>
      </c>
      <c r="D163" s="4">
        <f>MIN(B163,Model!$B$8)</f>
        <v/>
      </c>
      <c r="E163" s="6">
        <f>D163*(Model!$B$5-C163)-Model!$B$7</f>
        <v/>
      </c>
    </row>
    <row r="164">
      <c r="A164" t="n">
        <v>163</v>
      </c>
      <c r="B164" s="4">
        <f>MAX(0,_xlfn.NORM.INV(RAND(),Model!$B$4,Model!$B$11))</f>
        <v/>
      </c>
      <c r="C164" s="12">
        <f>Model!$B$12+(Model!$B$13-Model!$B$12)*RAND()</f>
        <v/>
      </c>
      <c r="D164" s="4">
        <f>MIN(B164,Model!$B$8)</f>
        <v/>
      </c>
      <c r="E164" s="6">
        <f>D164*(Model!$B$5-C164)-Model!$B$7</f>
        <v/>
      </c>
    </row>
    <row r="165">
      <c r="A165" t="n">
        <v>164</v>
      </c>
      <c r="B165" s="4">
        <f>MAX(0,_xlfn.NORM.INV(RAND(),Model!$B$4,Model!$B$11))</f>
        <v/>
      </c>
      <c r="C165" s="12">
        <f>Model!$B$12+(Model!$B$13-Model!$B$12)*RAND()</f>
        <v/>
      </c>
      <c r="D165" s="4">
        <f>MIN(B165,Model!$B$8)</f>
        <v/>
      </c>
      <c r="E165" s="6">
        <f>D165*(Model!$B$5-C165)-Model!$B$7</f>
        <v/>
      </c>
    </row>
    <row r="166">
      <c r="A166" t="n">
        <v>165</v>
      </c>
      <c r="B166" s="4">
        <f>MAX(0,_xlfn.NORM.INV(RAND(),Model!$B$4,Model!$B$11))</f>
        <v/>
      </c>
      <c r="C166" s="12">
        <f>Model!$B$12+(Model!$B$13-Model!$B$12)*RAND()</f>
        <v/>
      </c>
      <c r="D166" s="4">
        <f>MIN(B166,Model!$B$8)</f>
        <v/>
      </c>
      <c r="E166" s="6">
        <f>D166*(Model!$B$5-C166)-Model!$B$7</f>
        <v/>
      </c>
    </row>
    <row r="167">
      <c r="A167" t="n">
        <v>166</v>
      </c>
      <c r="B167" s="4">
        <f>MAX(0,_xlfn.NORM.INV(RAND(),Model!$B$4,Model!$B$11))</f>
        <v/>
      </c>
      <c r="C167" s="12">
        <f>Model!$B$12+(Model!$B$13-Model!$B$12)*RAND()</f>
        <v/>
      </c>
      <c r="D167" s="4">
        <f>MIN(B167,Model!$B$8)</f>
        <v/>
      </c>
      <c r="E167" s="6">
        <f>D167*(Model!$B$5-C167)-Model!$B$7</f>
        <v/>
      </c>
    </row>
    <row r="168">
      <c r="A168" t="n">
        <v>167</v>
      </c>
      <c r="B168" s="4">
        <f>MAX(0,_xlfn.NORM.INV(RAND(),Model!$B$4,Model!$B$11))</f>
        <v/>
      </c>
      <c r="C168" s="12">
        <f>Model!$B$12+(Model!$B$13-Model!$B$12)*RAND()</f>
        <v/>
      </c>
      <c r="D168" s="4">
        <f>MIN(B168,Model!$B$8)</f>
        <v/>
      </c>
      <c r="E168" s="6">
        <f>D168*(Model!$B$5-C168)-Model!$B$7</f>
        <v/>
      </c>
    </row>
    <row r="169">
      <c r="A169" t="n">
        <v>168</v>
      </c>
      <c r="B169" s="4">
        <f>MAX(0,_xlfn.NORM.INV(RAND(),Model!$B$4,Model!$B$11))</f>
        <v/>
      </c>
      <c r="C169" s="12">
        <f>Model!$B$12+(Model!$B$13-Model!$B$12)*RAND()</f>
        <v/>
      </c>
      <c r="D169" s="4">
        <f>MIN(B169,Model!$B$8)</f>
        <v/>
      </c>
      <c r="E169" s="6">
        <f>D169*(Model!$B$5-C169)-Model!$B$7</f>
        <v/>
      </c>
    </row>
    <row r="170">
      <c r="A170" t="n">
        <v>169</v>
      </c>
      <c r="B170" s="4">
        <f>MAX(0,_xlfn.NORM.INV(RAND(),Model!$B$4,Model!$B$11))</f>
        <v/>
      </c>
      <c r="C170" s="12">
        <f>Model!$B$12+(Model!$B$13-Model!$B$12)*RAND()</f>
        <v/>
      </c>
      <c r="D170" s="4">
        <f>MIN(B170,Model!$B$8)</f>
        <v/>
      </c>
      <c r="E170" s="6">
        <f>D170*(Model!$B$5-C170)-Model!$B$7</f>
        <v/>
      </c>
    </row>
    <row r="171">
      <c r="A171" t="n">
        <v>170</v>
      </c>
      <c r="B171" s="4">
        <f>MAX(0,_xlfn.NORM.INV(RAND(),Model!$B$4,Model!$B$11))</f>
        <v/>
      </c>
      <c r="C171" s="12">
        <f>Model!$B$12+(Model!$B$13-Model!$B$12)*RAND()</f>
        <v/>
      </c>
      <c r="D171" s="4">
        <f>MIN(B171,Model!$B$8)</f>
        <v/>
      </c>
      <c r="E171" s="6">
        <f>D171*(Model!$B$5-C171)-Model!$B$7</f>
        <v/>
      </c>
    </row>
    <row r="172">
      <c r="A172" t="n">
        <v>171</v>
      </c>
      <c r="B172" s="4">
        <f>MAX(0,_xlfn.NORM.INV(RAND(),Model!$B$4,Model!$B$11))</f>
        <v/>
      </c>
      <c r="C172" s="12">
        <f>Model!$B$12+(Model!$B$13-Model!$B$12)*RAND()</f>
        <v/>
      </c>
      <c r="D172" s="4">
        <f>MIN(B172,Model!$B$8)</f>
        <v/>
      </c>
      <c r="E172" s="6">
        <f>D172*(Model!$B$5-C172)-Model!$B$7</f>
        <v/>
      </c>
    </row>
    <row r="173">
      <c r="A173" t="n">
        <v>172</v>
      </c>
      <c r="B173" s="4">
        <f>MAX(0,_xlfn.NORM.INV(RAND(),Model!$B$4,Model!$B$11))</f>
        <v/>
      </c>
      <c r="C173" s="12">
        <f>Model!$B$12+(Model!$B$13-Model!$B$12)*RAND()</f>
        <v/>
      </c>
      <c r="D173" s="4">
        <f>MIN(B173,Model!$B$8)</f>
        <v/>
      </c>
      <c r="E173" s="6">
        <f>D173*(Model!$B$5-C173)-Model!$B$7</f>
        <v/>
      </c>
    </row>
    <row r="174">
      <c r="A174" t="n">
        <v>173</v>
      </c>
      <c r="B174" s="4">
        <f>MAX(0,_xlfn.NORM.INV(RAND(),Model!$B$4,Model!$B$11))</f>
        <v/>
      </c>
      <c r="C174" s="12">
        <f>Model!$B$12+(Model!$B$13-Model!$B$12)*RAND()</f>
        <v/>
      </c>
      <c r="D174" s="4">
        <f>MIN(B174,Model!$B$8)</f>
        <v/>
      </c>
      <c r="E174" s="6">
        <f>D174*(Model!$B$5-C174)-Model!$B$7</f>
        <v/>
      </c>
    </row>
    <row r="175">
      <c r="A175" t="n">
        <v>174</v>
      </c>
      <c r="B175" s="4">
        <f>MAX(0,_xlfn.NORM.INV(RAND(),Model!$B$4,Model!$B$11))</f>
        <v/>
      </c>
      <c r="C175" s="12">
        <f>Model!$B$12+(Model!$B$13-Model!$B$12)*RAND()</f>
        <v/>
      </c>
      <c r="D175" s="4">
        <f>MIN(B175,Model!$B$8)</f>
        <v/>
      </c>
      <c r="E175" s="6">
        <f>D175*(Model!$B$5-C175)-Model!$B$7</f>
        <v/>
      </c>
    </row>
    <row r="176">
      <c r="A176" t="n">
        <v>175</v>
      </c>
      <c r="B176" s="4">
        <f>MAX(0,_xlfn.NORM.INV(RAND(),Model!$B$4,Model!$B$11))</f>
        <v/>
      </c>
      <c r="C176" s="12">
        <f>Model!$B$12+(Model!$B$13-Model!$B$12)*RAND()</f>
        <v/>
      </c>
      <c r="D176" s="4">
        <f>MIN(B176,Model!$B$8)</f>
        <v/>
      </c>
      <c r="E176" s="6">
        <f>D176*(Model!$B$5-C176)-Model!$B$7</f>
        <v/>
      </c>
    </row>
    <row r="177">
      <c r="A177" t="n">
        <v>176</v>
      </c>
      <c r="B177" s="4">
        <f>MAX(0,_xlfn.NORM.INV(RAND(),Model!$B$4,Model!$B$11))</f>
        <v/>
      </c>
      <c r="C177" s="12">
        <f>Model!$B$12+(Model!$B$13-Model!$B$12)*RAND()</f>
        <v/>
      </c>
      <c r="D177" s="4">
        <f>MIN(B177,Model!$B$8)</f>
        <v/>
      </c>
      <c r="E177" s="6">
        <f>D177*(Model!$B$5-C177)-Model!$B$7</f>
        <v/>
      </c>
    </row>
    <row r="178">
      <c r="A178" t="n">
        <v>177</v>
      </c>
      <c r="B178" s="4">
        <f>MAX(0,_xlfn.NORM.INV(RAND(),Model!$B$4,Model!$B$11))</f>
        <v/>
      </c>
      <c r="C178" s="12">
        <f>Model!$B$12+(Model!$B$13-Model!$B$12)*RAND()</f>
        <v/>
      </c>
      <c r="D178" s="4">
        <f>MIN(B178,Model!$B$8)</f>
        <v/>
      </c>
      <c r="E178" s="6">
        <f>D178*(Model!$B$5-C178)-Model!$B$7</f>
        <v/>
      </c>
    </row>
    <row r="179">
      <c r="A179" t="n">
        <v>178</v>
      </c>
      <c r="B179" s="4">
        <f>MAX(0,_xlfn.NORM.INV(RAND(),Model!$B$4,Model!$B$11))</f>
        <v/>
      </c>
      <c r="C179" s="12">
        <f>Model!$B$12+(Model!$B$13-Model!$B$12)*RAND()</f>
        <v/>
      </c>
      <c r="D179" s="4">
        <f>MIN(B179,Model!$B$8)</f>
        <v/>
      </c>
      <c r="E179" s="6">
        <f>D179*(Model!$B$5-C179)-Model!$B$7</f>
        <v/>
      </c>
    </row>
    <row r="180">
      <c r="A180" t="n">
        <v>179</v>
      </c>
      <c r="B180" s="4">
        <f>MAX(0,_xlfn.NORM.INV(RAND(),Model!$B$4,Model!$B$11))</f>
        <v/>
      </c>
      <c r="C180" s="12">
        <f>Model!$B$12+(Model!$B$13-Model!$B$12)*RAND()</f>
        <v/>
      </c>
      <c r="D180" s="4">
        <f>MIN(B180,Model!$B$8)</f>
        <v/>
      </c>
      <c r="E180" s="6">
        <f>D180*(Model!$B$5-C180)-Model!$B$7</f>
        <v/>
      </c>
    </row>
    <row r="181">
      <c r="A181" t="n">
        <v>180</v>
      </c>
      <c r="B181" s="4">
        <f>MAX(0,_xlfn.NORM.INV(RAND(),Model!$B$4,Model!$B$11))</f>
        <v/>
      </c>
      <c r="C181" s="12">
        <f>Model!$B$12+(Model!$B$13-Model!$B$12)*RAND()</f>
        <v/>
      </c>
      <c r="D181" s="4">
        <f>MIN(B181,Model!$B$8)</f>
        <v/>
      </c>
      <c r="E181" s="6">
        <f>D181*(Model!$B$5-C181)-Model!$B$7</f>
        <v/>
      </c>
    </row>
    <row r="182">
      <c r="A182" t="n">
        <v>181</v>
      </c>
      <c r="B182" s="4">
        <f>MAX(0,_xlfn.NORM.INV(RAND(),Model!$B$4,Model!$B$11))</f>
        <v/>
      </c>
      <c r="C182" s="12">
        <f>Model!$B$12+(Model!$B$13-Model!$B$12)*RAND()</f>
        <v/>
      </c>
      <c r="D182" s="4">
        <f>MIN(B182,Model!$B$8)</f>
        <v/>
      </c>
      <c r="E182" s="6">
        <f>D182*(Model!$B$5-C182)-Model!$B$7</f>
        <v/>
      </c>
    </row>
    <row r="183">
      <c r="A183" t="n">
        <v>182</v>
      </c>
      <c r="B183" s="4">
        <f>MAX(0,_xlfn.NORM.INV(RAND(),Model!$B$4,Model!$B$11))</f>
        <v/>
      </c>
      <c r="C183" s="12">
        <f>Model!$B$12+(Model!$B$13-Model!$B$12)*RAND()</f>
        <v/>
      </c>
      <c r="D183" s="4">
        <f>MIN(B183,Model!$B$8)</f>
        <v/>
      </c>
      <c r="E183" s="6">
        <f>D183*(Model!$B$5-C183)-Model!$B$7</f>
        <v/>
      </c>
    </row>
    <row r="184">
      <c r="A184" t="n">
        <v>183</v>
      </c>
      <c r="B184" s="4">
        <f>MAX(0,_xlfn.NORM.INV(RAND(),Model!$B$4,Model!$B$11))</f>
        <v/>
      </c>
      <c r="C184" s="12">
        <f>Model!$B$12+(Model!$B$13-Model!$B$12)*RAND()</f>
        <v/>
      </c>
      <c r="D184" s="4">
        <f>MIN(B184,Model!$B$8)</f>
        <v/>
      </c>
      <c r="E184" s="6">
        <f>D184*(Model!$B$5-C184)-Model!$B$7</f>
        <v/>
      </c>
    </row>
    <row r="185">
      <c r="A185" t="n">
        <v>184</v>
      </c>
      <c r="B185" s="4">
        <f>MAX(0,_xlfn.NORM.INV(RAND(),Model!$B$4,Model!$B$11))</f>
        <v/>
      </c>
      <c r="C185" s="12">
        <f>Model!$B$12+(Model!$B$13-Model!$B$12)*RAND()</f>
        <v/>
      </c>
      <c r="D185" s="4">
        <f>MIN(B185,Model!$B$8)</f>
        <v/>
      </c>
      <c r="E185" s="6">
        <f>D185*(Model!$B$5-C185)-Model!$B$7</f>
        <v/>
      </c>
    </row>
    <row r="186">
      <c r="A186" t="n">
        <v>185</v>
      </c>
      <c r="B186" s="4">
        <f>MAX(0,_xlfn.NORM.INV(RAND(),Model!$B$4,Model!$B$11))</f>
        <v/>
      </c>
      <c r="C186" s="12">
        <f>Model!$B$12+(Model!$B$13-Model!$B$12)*RAND()</f>
        <v/>
      </c>
      <c r="D186" s="4">
        <f>MIN(B186,Model!$B$8)</f>
        <v/>
      </c>
      <c r="E186" s="6">
        <f>D186*(Model!$B$5-C186)-Model!$B$7</f>
        <v/>
      </c>
    </row>
    <row r="187">
      <c r="A187" t="n">
        <v>186</v>
      </c>
      <c r="B187" s="4">
        <f>MAX(0,_xlfn.NORM.INV(RAND(),Model!$B$4,Model!$B$11))</f>
        <v/>
      </c>
      <c r="C187" s="12">
        <f>Model!$B$12+(Model!$B$13-Model!$B$12)*RAND()</f>
        <v/>
      </c>
      <c r="D187" s="4">
        <f>MIN(B187,Model!$B$8)</f>
        <v/>
      </c>
      <c r="E187" s="6">
        <f>D187*(Model!$B$5-C187)-Model!$B$7</f>
        <v/>
      </c>
    </row>
    <row r="188">
      <c r="A188" t="n">
        <v>187</v>
      </c>
      <c r="B188" s="4">
        <f>MAX(0,_xlfn.NORM.INV(RAND(),Model!$B$4,Model!$B$11))</f>
        <v/>
      </c>
      <c r="C188" s="12">
        <f>Model!$B$12+(Model!$B$13-Model!$B$12)*RAND()</f>
        <v/>
      </c>
      <c r="D188" s="4">
        <f>MIN(B188,Model!$B$8)</f>
        <v/>
      </c>
      <c r="E188" s="6">
        <f>D188*(Model!$B$5-C188)-Model!$B$7</f>
        <v/>
      </c>
    </row>
    <row r="189">
      <c r="A189" t="n">
        <v>188</v>
      </c>
      <c r="B189" s="4">
        <f>MAX(0,_xlfn.NORM.INV(RAND(),Model!$B$4,Model!$B$11))</f>
        <v/>
      </c>
      <c r="C189" s="12">
        <f>Model!$B$12+(Model!$B$13-Model!$B$12)*RAND()</f>
        <v/>
      </c>
      <c r="D189" s="4">
        <f>MIN(B189,Model!$B$8)</f>
        <v/>
      </c>
      <c r="E189" s="6">
        <f>D189*(Model!$B$5-C189)-Model!$B$7</f>
        <v/>
      </c>
    </row>
    <row r="190">
      <c r="A190" t="n">
        <v>189</v>
      </c>
      <c r="B190" s="4">
        <f>MAX(0,_xlfn.NORM.INV(RAND(),Model!$B$4,Model!$B$11))</f>
        <v/>
      </c>
      <c r="C190" s="12">
        <f>Model!$B$12+(Model!$B$13-Model!$B$12)*RAND()</f>
        <v/>
      </c>
      <c r="D190" s="4">
        <f>MIN(B190,Model!$B$8)</f>
        <v/>
      </c>
      <c r="E190" s="6">
        <f>D190*(Model!$B$5-C190)-Model!$B$7</f>
        <v/>
      </c>
    </row>
    <row r="191">
      <c r="A191" t="n">
        <v>190</v>
      </c>
      <c r="B191" s="4">
        <f>MAX(0,_xlfn.NORM.INV(RAND(),Model!$B$4,Model!$B$11))</f>
        <v/>
      </c>
      <c r="C191" s="12">
        <f>Model!$B$12+(Model!$B$13-Model!$B$12)*RAND()</f>
        <v/>
      </c>
      <c r="D191" s="4">
        <f>MIN(B191,Model!$B$8)</f>
        <v/>
      </c>
      <c r="E191" s="6">
        <f>D191*(Model!$B$5-C191)-Model!$B$7</f>
        <v/>
      </c>
    </row>
    <row r="192">
      <c r="A192" t="n">
        <v>191</v>
      </c>
      <c r="B192" s="4">
        <f>MAX(0,_xlfn.NORM.INV(RAND(),Model!$B$4,Model!$B$11))</f>
        <v/>
      </c>
      <c r="C192" s="12">
        <f>Model!$B$12+(Model!$B$13-Model!$B$12)*RAND()</f>
        <v/>
      </c>
      <c r="D192" s="4">
        <f>MIN(B192,Model!$B$8)</f>
        <v/>
      </c>
      <c r="E192" s="6">
        <f>D192*(Model!$B$5-C192)-Model!$B$7</f>
        <v/>
      </c>
    </row>
    <row r="193">
      <c r="A193" t="n">
        <v>192</v>
      </c>
      <c r="B193" s="4">
        <f>MAX(0,_xlfn.NORM.INV(RAND(),Model!$B$4,Model!$B$11))</f>
        <v/>
      </c>
      <c r="C193" s="12">
        <f>Model!$B$12+(Model!$B$13-Model!$B$12)*RAND()</f>
        <v/>
      </c>
      <c r="D193" s="4">
        <f>MIN(B193,Model!$B$8)</f>
        <v/>
      </c>
      <c r="E193" s="6">
        <f>D193*(Model!$B$5-C193)-Model!$B$7</f>
        <v/>
      </c>
    </row>
    <row r="194">
      <c r="A194" t="n">
        <v>193</v>
      </c>
      <c r="B194" s="4">
        <f>MAX(0,_xlfn.NORM.INV(RAND(),Model!$B$4,Model!$B$11))</f>
        <v/>
      </c>
      <c r="C194" s="12">
        <f>Model!$B$12+(Model!$B$13-Model!$B$12)*RAND()</f>
        <v/>
      </c>
      <c r="D194" s="4">
        <f>MIN(B194,Model!$B$8)</f>
        <v/>
      </c>
      <c r="E194" s="6">
        <f>D194*(Model!$B$5-C194)-Model!$B$7</f>
        <v/>
      </c>
    </row>
    <row r="195">
      <c r="A195" t="n">
        <v>194</v>
      </c>
      <c r="B195" s="4">
        <f>MAX(0,_xlfn.NORM.INV(RAND(),Model!$B$4,Model!$B$11))</f>
        <v/>
      </c>
      <c r="C195" s="12">
        <f>Model!$B$12+(Model!$B$13-Model!$B$12)*RAND()</f>
        <v/>
      </c>
      <c r="D195" s="4">
        <f>MIN(B195,Model!$B$8)</f>
        <v/>
      </c>
      <c r="E195" s="6">
        <f>D195*(Model!$B$5-C195)-Model!$B$7</f>
        <v/>
      </c>
    </row>
    <row r="196">
      <c r="A196" t="n">
        <v>195</v>
      </c>
      <c r="B196" s="4">
        <f>MAX(0,_xlfn.NORM.INV(RAND(),Model!$B$4,Model!$B$11))</f>
        <v/>
      </c>
      <c r="C196" s="12">
        <f>Model!$B$12+(Model!$B$13-Model!$B$12)*RAND()</f>
        <v/>
      </c>
      <c r="D196" s="4">
        <f>MIN(B196,Model!$B$8)</f>
        <v/>
      </c>
      <c r="E196" s="6">
        <f>D196*(Model!$B$5-C196)-Model!$B$7</f>
        <v/>
      </c>
    </row>
    <row r="197">
      <c r="A197" t="n">
        <v>196</v>
      </c>
      <c r="B197" s="4">
        <f>MAX(0,_xlfn.NORM.INV(RAND(),Model!$B$4,Model!$B$11))</f>
        <v/>
      </c>
      <c r="C197" s="12">
        <f>Model!$B$12+(Model!$B$13-Model!$B$12)*RAND()</f>
        <v/>
      </c>
      <c r="D197" s="4">
        <f>MIN(B197,Model!$B$8)</f>
        <v/>
      </c>
      <c r="E197" s="6">
        <f>D197*(Model!$B$5-C197)-Model!$B$7</f>
        <v/>
      </c>
    </row>
    <row r="198">
      <c r="A198" t="n">
        <v>197</v>
      </c>
      <c r="B198" s="4">
        <f>MAX(0,_xlfn.NORM.INV(RAND(),Model!$B$4,Model!$B$11))</f>
        <v/>
      </c>
      <c r="C198" s="12">
        <f>Model!$B$12+(Model!$B$13-Model!$B$12)*RAND()</f>
        <v/>
      </c>
      <c r="D198" s="4">
        <f>MIN(B198,Model!$B$8)</f>
        <v/>
      </c>
      <c r="E198" s="6">
        <f>D198*(Model!$B$5-C198)-Model!$B$7</f>
        <v/>
      </c>
    </row>
    <row r="199">
      <c r="A199" t="n">
        <v>198</v>
      </c>
      <c r="B199" s="4">
        <f>MAX(0,_xlfn.NORM.INV(RAND(),Model!$B$4,Model!$B$11))</f>
        <v/>
      </c>
      <c r="C199" s="12">
        <f>Model!$B$12+(Model!$B$13-Model!$B$12)*RAND()</f>
        <v/>
      </c>
      <c r="D199" s="4">
        <f>MIN(B199,Model!$B$8)</f>
        <v/>
      </c>
      <c r="E199" s="6">
        <f>D199*(Model!$B$5-C199)-Model!$B$7</f>
        <v/>
      </c>
    </row>
    <row r="200">
      <c r="A200" t="n">
        <v>199</v>
      </c>
      <c r="B200" s="4">
        <f>MAX(0,_xlfn.NORM.INV(RAND(),Model!$B$4,Model!$B$11))</f>
        <v/>
      </c>
      <c r="C200" s="12">
        <f>Model!$B$12+(Model!$B$13-Model!$B$12)*RAND()</f>
        <v/>
      </c>
      <c r="D200" s="4">
        <f>MIN(B200,Model!$B$8)</f>
        <v/>
      </c>
      <c r="E200" s="6">
        <f>D200*(Model!$B$5-C200)-Model!$B$7</f>
        <v/>
      </c>
    </row>
    <row r="201">
      <c r="A201" t="n">
        <v>200</v>
      </c>
      <c r="B201" s="4">
        <f>MAX(0,_xlfn.NORM.INV(RAND(),Model!$B$4,Model!$B$11))</f>
        <v/>
      </c>
      <c r="C201" s="12">
        <f>Model!$B$12+(Model!$B$13-Model!$B$12)*RAND()</f>
        <v/>
      </c>
      <c r="D201" s="4">
        <f>MIN(B201,Model!$B$8)</f>
        <v/>
      </c>
      <c r="E201" s="6">
        <f>D201*(Model!$B$5-C201)-Model!$B$7</f>
        <v/>
      </c>
    </row>
    <row r="202">
      <c r="A202" t="n">
        <v>201</v>
      </c>
      <c r="B202" s="4">
        <f>MAX(0,_xlfn.NORM.INV(RAND(),Model!$B$4,Model!$B$11))</f>
        <v/>
      </c>
      <c r="C202" s="12">
        <f>Model!$B$12+(Model!$B$13-Model!$B$12)*RAND()</f>
        <v/>
      </c>
      <c r="D202" s="4">
        <f>MIN(B202,Model!$B$8)</f>
        <v/>
      </c>
      <c r="E202" s="6">
        <f>D202*(Model!$B$5-C202)-Model!$B$7</f>
        <v/>
      </c>
    </row>
    <row r="203">
      <c r="A203" t="n">
        <v>202</v>
      </c>
      <c r="B203" s="4">
        <f>MAX(0,_xlfn.NORM.INV(RAND(),Model!$B$4,Model!$B$11))</f>
        <v/>
      </c>
      <c r="C203" s="12">
        <f>Model!$B$12+(Model!$B$13-Model!$B$12)*RAND()</f>
        <v/>
      </c>
      <c r="D203" s="4">
        <f>MIN(B203,Model!$B$8)</f>
        <v/>
      </c>
      <c r="E203" s="6">
        <f>D203*(Model!$B$5-C203)-Model!$B$7</f>
        <v/>
      </c>
    </row>
    <row r="204">
      <c r="A204" t="n">
        <v>203</v>
      </c>
      <c r="B204" s="4">
        <f>MAX(0,_xlfn.NORM.INV(RAND(),Model!$B$4,Model!$B$11))</f>
        <v/>
      </c>
      <c r="C204" s="12">
        <f>Model!$B$12+(Model!$B$13-Model!$B$12)*RAND()</f>
        <v/>
      </c>
      <c r="D204" s="4">
        <f>MIN(B204,Model!$B$8)</f>
        <v/>
      </c>
      <c r="E204" s="6">
        <f>D204*(Model!$B$5-C204)-Model!$B$7</f>
        <v/>
      </c>
    </row>
    <row r="205">
      <c r="A205" t="n">
        <v>204</v>
      </c>
      <c r="B205" s="4">
        <f>MAX(0,_xlfn.NORM.INV(RAND(),Model!$B$4,Model!$B$11))</f>
        <v/>
      </c>
      <c r="C205" s="12">
        <f>Model!$B$12+(Model!$B$13-Model!$B$12)*RAND()</f>
        <v/>
      </c>
      <c r="D205" s="4">
        <f>MIN(B205,Model!$B$8)</f>
        <v/>
      </c>
      <c r="E205" s="6">
        <f>D205*(Model!$B$5-C205)-Model!$B$7</f>
        <v/>
      </c>
    </row>
    <row r="206">
      <c r="A206" t="n">
        <v>205</v>
      </c>
      <c r="B206" s="4">
        <f>MAX(0,_xlfn.NORM.INV(RAND(),Model!$B$4,Model!$B$11))</f>
        <v/>
      </c>
      <c r="C206" s="12">
        <f>Model!$B$12+(Model!$B$13-Model!$B$12)*RAND()</f>
        <v/>
      </c>
      <c r="D206" s="4">
        <f>MIN(B206,Model!$B$8)</f>
        <v/>
      </c>
      <c r="E206" s="6">
        <f>D206*(Model!$B$5-C206)-Model!$B$7</f>
        <v/>
      </c>
    </row>
    <row r="207">
      <c r="A207" t="n">
        <v>206</v>
      </c>
      <c r="B207" s="4">
        <f>MAX(0,_xlfn.NORM.INV(RAND(),Model!$B$4,Model!$B$11))</f>
        <v/>
      </c>
      <c r="C207" s="12">
        <f>Model!$B$12+(Model!$B$13-Model!$B$12)*RAND()</f>
        <v/>
      </c>
      <c r="D207" s="4">
        <f>MIN(B207,Model!$B$8)</f>
        <v/>
      </c>
      <c r="E207" s="6">
        <f>D207*(Model!$B$5-C207)-Model!$B$7</f>
        <v/>
      </c>
    </row>
    <row r="208">
      <c r="A208" t="n">
        <v>207</v>
      </c>
      <c r="B208" s="4">
        <f>MAX(0,_xlfn.NORM.INV(RAND(),Model!$B$4,Model!$B$11))</f>
        <v/>
      </c>
      <c r="C208" s="12">
        <f>Model!$B$12+(Model!$B$13-Model!$B$12)*RAND()</f>
        <v/>
      </c>
      <c r="D208" s="4">
        <f>MIN(B208,Model!$B$8)</f>
        <v/>
      </c>
      <c r="E208" s="6">
        <f>D208*(Model!$B$5-C208)-Model!$B$7</f>
        <v/>
      </c>
    </row>
    <row r="209">
      <c r="A209" t="n">
        <v>208</v>
      </c>
      <c r="B209" s="4">
        <f>MAX(0,_xlfn.NORM.INV(RAND(),Model!$B$4,Model!$B$11))</f>
        <v/>
      </c>
      <c r="C209" s="12">
        <f>Model!$B$12+(Model!$B$13-Model!$B$12)*RAND()</f>
        <v/>
      </c>
      <c r="D209" s="4">
        <f>MIN(B209,Model!$B$8)</f>
        <v/>
      </c>
      <c r="E209" s="6">
        <f>D209*(Model!$B$5-C209)-Model!$B$7</f>
        <v/>
      </c>
    </row>
    <row r="210">
      <c r="A210" t="n">
        <v>209</v>
      </c>
      <c r="B210" s="4">
        <f>MAX(0,_xlfn.NORM.INV(RAND(),Model!$B$4,Model!$B$11))</f>
        <v/>
      </c>
      <c r="C210" s="12">
        <f>Model!$B$12+(Model!$B$13-Model!$B$12)*RAND()</f>
        <v/>
      </c>
      <c r="D210" s="4">
        <f>MIN(B210,Model!$B$8)</f>
        <v/>
      </c>
      <c r="E210" s="6">
        <f>D210*(Model!$B$5-C210)-Model!$B$7</f>
        <v/>
      </c>
    </row>
    <row r="211">
      <c r="A211" t="n">
        <v>210</v>
      </c>
      <c r="B211" s="4">
        <f>MAX(0,_xlfn.NORM.INV(RAND(),Model!$B$4,Model!$B$11))</f>
        <v/>
      </c>
      <c r="C211" s="12">
        <f>Model!$B$12+(Model!$B$13-Model!$B$12)*RAND()</f>
        <v/>
      </c>
      <c r="D211" s="4">
        <f>MIN(B211,Model!$B$8)</f>
        <v/>
      </c>
      <c r="E211" s="6">
        <f>D211*(Model!$B$5-C211)-Model!$B$7</f>
        <v/>
      </c>
    </row>
    <row r="212">
      <c r="A212" t="n">
        <v>211</v>
      </c>
      <c r="B212" s="4">
        <f>MAX(0,_xlfn.NORM.INV(RAND(),Model!$B$4,Model!$B$11))</f>
        <v/>
      </c>
      <c r="C212" s="12">
        <f>Model!$B$12+(Model!$B$13-Model!$B$12)*RAND()</f>
        <v/>
      </c>
      <c r="D212" s="4">
        <f>MIN(B212,Model!$B$8)</f>
        <v/>
      </c>
      <c r="E212" s="6">
        <f>D212*(Model!$B$5-C212)-Model!$B$7</f>
        <v/>
      </c>
    </row>
    <row r="213">
      <c r="A213" t="n">
        <v>212</v>
      </c>
      <c r="B213" s="4">
        <f>MAX(0,_xlfn.NORM.INV(RAND(),Model!$B$4,Model!$B$11))</f>
        <v/>
      </c>
      <c r="C213" s="12">
        <f>Model!$B$12+(Model!$B$13-Model!$B$12)*RAND()</f>
        <v/>
      </c>
      <c r="D213" s="4">
        <f>MIN(B213,Model!$B$8)</f>
        <v/>
      </c>
      <c r="E213" s="6">
        <f>D213*(Model!$B$5-C213)-Model!$B$7</f>
        <v/>
      </c>
    </row>
    <row r="214">
      <c r="A214" t="n">
        <v>213</v>
      </c>
      <c r="B214" s="4">
        <f>MAX(0,_xlfn.NORM.INV(RAND(),Model!$B$4,Model!$B$11))</f>
        <v/>
      </c>
      <c r="C214" s="12">
        <f>Model!$B$12+(Model!$B$13-Model!$B$12)*RAND()</f>
        <v/>
      </c>
      <c r="D214" s="4">
        <f>MIN(B214,Model!$B$8)</f>
        <v/>
      </c>
      <c r="E214" s="6">
        <f>D214*(Model!$B$5-C214)-Model!$B$7</f>
        <v/>
      </c>
    </row>
    <row r="215">
      <c r="A215" t="n">
        <v>214</v>
      </c>
      <c r="B215" s="4">
        <f>MAX(0,_xlfn.NORM.INV(RAND(),Model!$B$4,Model!$B$11))</f>
        <v/>
      </c>
      <c r="C215" s="12">
        <f>Model!$B$12+(Model!$B$13-Model!$B$12)*RAND()</f>
        <v/>
      </c>
      <c r="D215" s="4">
        <f>MIN(B215,Model!$B$8)</f>
        <v/>
      </c>
      <c r="E215" s="6">
        <f>D215*(Model!$B$5-C215)-Model!$B$7</f>
        <v/>
      </c>
    </row>
    <row r="216">
      <c r="A216" t="n">
        <v>215</v>
      </c>
      <c r="B216" s="4">
        <f>MAX(0,_xlfn.NORM.INV(RAND(),Model!$B$4,Model!$B$11))</f>
        <v/>
      </c>
      <c r="C216" s="12">
        <f>Model!$B$12+(Model!$B$13-Model!$B$12)*RAND()</f>
        <v/>
      </c>
      <c r="D216" s="4">
        <f>MIN(B216,Model!$B$8)</f>
        <v/>
      </c>
      <c r="E216" s="6">
        <f>D216*(Model!$B$5-C216)-Model!$B$7</f>
        <v/>
      </c>
    </row>
    <row r="217">
      <c r="A217" t="n">
        <v>216</v>
      </c>
      <c r="B217" s="4">
        <f>MAX(0,_xlfn.NORM.INV(RAND(),Model!$B$4,Model!$B$11))</f>
        <v/>
      </c>
      <c r="C217" s="12">
        <f>Model!$B$12+(Model!$B$13-Model!$B$12)*RAND()</f>
        <v/>
      </c>
      <c r="D217" s="4">
        <f>MIN(B217,Model!$B$8)</f>
        <v/>
      </c>
      <c r="E217" s="6">
        <f>D217*(Model!$B$5-C217)-Model!$B$7</f>
        <v/>
      </c>
    </row>
    <row r="218">
      <c r="A218" t="n">
        <v>217</v>
      </c>
      <c r="B218" s="4">
        <f>MAX(0,_xlfn.NORM.INV(RAND(),Model!$B$4,Model!$B$11))</f>
        <v/>
      </c>
      <c r="C218" s="12">
        <f>Model!$B$12+(Model!$B$13-Model!$B$12)*RAND()</f>
        <v/>
      </c>
      <c r="D218" s="4">
        <f>MIN(B218,Model!$B$8)</f>
        <v/>
      </c>
      <c r="E218" s="6">
        <f>D218*(Model!$B$5-C218)-Model!$B$7</f>
        <v/>
      </c>
    </row>
    <row r="219">
      <c r="A219" t="n">
        <v>218</v>
      </c>
      <c r="B219" s="4">
        <f>MAX(0,_xlfn.NORM.INV(RAND(),Model!$B$4,Model!$B$11))</f>
        <v/>
      </c>
      <c r="C219" s="12">
        <f>Model!$B$12+(Model!$B$13-Model!$B$12)*RAND()</f>
        <v/>
      </c>
      <c r="D219" s="4">
        <f>MIN(B219,Model!$B$8)</f>
        <v/>
      </c>
      <c r="E219" s="6">
        <f>D219*(Model!$B$5-C219)-Model!$B$7</f>
        <v/>
      </c>
    </row>
    <row r="220">
      <c r="A220" t="n">
        <v>219</v>
      </c>
      <c r="B220" s="4">
        <f>MAX(0,_xlfn.NORM.INV(RAND(),Model!$B$4,Model!$B$11))</f>
        <v/>
      </c>
      <c r="C220" s="12">
        <f>Model!$B$12+(Model!$B$13-Model!$B$12)*RAND()</f>
        <v/>
      </c>
      <c r="D220" s="4">
        <f>MIN(B220,Model!$B$8)</f>
        <v/>
      </c>
      <c r="E220" s="6">
        <f>D220*(Model!$B$5-C220)-Model!$B$7</f>
        <v/>
      </c>
    </row>
    <row r="221">
      <c r="A221" t="n">
        <v>220</v>
      </c>
      <c r="B221" s="4">
        <f>MAX(0,_xlfn.NORM.INV(RAND(),Model!$B$4,Model!$B$11))</f>
        <v/>
      </c>
      <c r="C221" s="12">
        <f>Model!$B$12+(Model!$B$13-Model!$B$12)*RAND()</f>
        <v/>
      </c>
      <c r="D221" s="4">
        <f>MIN(B221,Model!$B$8)</f>
        <v/>
      </c>
      <c r="E221" s="6">
        <f>D221*(Model!$B$5-C221)-Model!$B$7</f>
        <v/>
      </c>
    </row>
    <row r="222">
      <c r="A222" t="n">
        <v>221</v>
      </c>
      <c r="B222" s="4">
        <f>MAX(0,_xlfn.NORM.INV(RAND(),Model!$B$4,Model!$B$11))</f>
        <v/>
      </c>
      <c r="C222" s="12">
        <f>Model!$B$12+(Model!$B$13-Model!$B$12)*RAND()</f>
        <v/>
      </c>
      <c r="D222" s="4">
        <f>MIN(B222,Model!$B$8)</f>
        <v/>
      </c>
      <c r="E222" s="6">
        <f>D222*(Model!$B$5-C222)-Model!$B$7</f>
        <v/>
      </c>
    </row>
    <row r="223">
      <c r="A223" t="n">
        <v>222</v>
      </c>
      <c r="B223" s="4">
        <f>MAX(0,_xlfn.NORM.INV(RAND(),Model!$B$4,Model!$B$11))</f>
        <v/>
      </c>
      <c r="C223" s="12">
        <f>Model!$B$12+(Model!$B$13-Model!$B$12)*RAND()</f>
        <v/>
      </c>
      <c r="D223" s="4">
        <f>MIN(B223,Model!$B$8)</f>
        <v/>
      </c>
      <c r="E223" s="6">
        <f>D223*(Model!$B$5-C223)-Model!$B$7</f>
        <v/>
      </c>
    </row>
    <row r="224">
      <c r="A224" t="n">
        <v>223</v>
      </c>
      <c r="B224" s="4">
        <f>MAX(0,_xlfn.NORM.INV(RAND(),Model!$B$4,Model!$B$11))</f>
        <v/>
      </c>
      <c r="C224" s="12">
        <f>Model!$B$12+(Model!$B$13-Model!$B$12)*RAND()</f>
        <v/>
      </c>
      <c r="D224" s="4">
        <f>MIN(B224,Model!$B$8)</f>
        <v/>
      </c>
      <c r="E224" s="6">
        <f>D224*(Model!$B$5-C224)-Model!$B$7</f>
        <v/>
      </c>
    </row>
    <row r="225">
      <c r="A225" t="n">
        <v>224</v>
      </c>
      <c r="B225" s="4">
        <f>MAX(0,_xlfn.NORM.INV(RAND(),Model!$B$4,Model!$B$11))</f>
        <v/>
      </c>
      <c r="C225" s="12">
        <f>Model!$B$12+(Model!$B$13-Model!$B$12)*RAND()</f>
        <v/>
      </c>
      <c r="D225" s="4">
        <f>MIN(B225,Model!$B$8)</f>
        <v/>
      </c>
      <c r="E225" s="6">
        <f>D225*(Model!$B$5-C225)-Model!$B$7</f>
        <v/>
      </c>
    </row>
    <row r="226">
      <c r="A226" t="n">
        <v>225</v>
      </c>
      <c r="B226" s="4">
        <f>MAX(0,_xlfn.NORM.INV(RAND(),Model!$B$4,Model!$B$11))</f>
        <v/>
      </c>
      <c r="C226" s="12">
        <f>Model!$B$12+(Model!$B$13-Model!$B$12)*RAND()</f>
        <v/>
      </c>
      <c r="D226" s="4">
        <f>MIN(B226,Model!$B$8)</f>
        <v/>
      </c>
      <c r="E226" s="6">
        <f>D226*(Model!$B$5-C226)-Model!$B$7</f>
        <v/>
      </c>
    </row>
    <row r="227">
      <c r="A227" t="n">
        <v>226</v>
      </c>
      <c r="B227" s="4">
        <f>MAX(0,_xlfn.NORM.INV(RAND(),Model!$B$4,Model!$B$11))</f>
        <v/>
      </c>
      <c r="C227" s="12">
        <f>Model!$B$12+(Model!$B$13-Model!$B$12)*RAND()</f>
        <v/>
      </c>
      <c r="D227" s="4">
        <f>MIN(B227,Model!$B$8)</f>
        <v/>
      </c>
      <c r="E227" s="6">
        <f>D227*(Model!$B$5-C227)-Model!$B$7</f>
        <v/>
      </c>
    </row>
    <row r="228">
      <c r="A228" t="n">
        <v>227</v>
      </c>
      <c r="B228" s="4">
        <f>MAX(0,_xlfn.NORM.INV(RAND(),Model!$B$4,Model!$B$11))</f>
        <v/>
      </c>
      <c r="C228" s="12">
        <f>Model!$B$12+(Model!$B$13-Model!$B$12)*RAND()</f>
        <v/>
      </c>
      <c r="D228" s="4">
        <f>MIN(B228,Model!$B$8)</f>
        <v/>
      </c>
      <c r="E228" s="6">
        <f>D228*(Model!$B$5-C228)-Model!$B$7</f>
        <v/>
      </c>
    </row>
    <row r="229">
      <c r="A229" t="n">
        <v>228</v>
      </c>
      <c r="B229" s="4">
        <f>MAX(0,_xlfn.NORM.INV(RAND(),Model!$B$4,Model!$B$11))</f>
        <v/>
      </c>
      <c r="C229" s="12">
        <f>Model!$B$12+(Model!$B$13-Model!$B$12)*RAND()</f>
        <v/>
      </c>
      <c r="D229" s="4">
        <f>MIN(B229,Model!$B$8)</f>
        <v/>
      </c>
      <c r="E229" s="6">
        <f>D229*(Model!$B$5-C229)-Model!$B$7</f>
        <v/>
      </c>
    </row>
    <row r="230">
      <c r="A230" t="n">
        <v>229</v>
      </c>
      <c r="B230" s="4">
        <f>MAX(0,_xlfn.NORM.INV(RAND(),Model!$B$4,Model!$B$11))</f>
        <v/>
      </c>
      <c r="C230" s="12">
        <f>Model!$B$12+(Model!$B$13-Model!$B$12)*RAND()</f>
        <v/>
      </c>
      <c r="D230" s="4">
        <f>MIN(B230,Model!$B$8)</f>
        <v/>
      </c>
      <c r="E230" s="6">
        <f>D230*(Model!$B$5-C230)-Model!$B$7</f>
        <v/>
      </c>
    </row>
    <row r="231">
      <c r="A231" t="n">
        <v>230</v>
      </c>
      <c r="B231" s="4">
        <f>MAX(0,_xlfn.NORM.INV(RAND(),Model!$B$4,Model!$B$11))</f>
        <v/>
      </c>
      <c r="C231" s="12">
        <f>Model!$B$12+(Model!$B$13-Model!$B$12)*RAND()</f>
        <v/>
      </c>
      <c r="D231" s="4">
        <f>MIN(B231,Model!$B$8)</f>
        <v/>
      </c>
      <c r="E231" s="6">
        <f>D231*(Model!$B$5-C231)-Model!$B$7</f>
        <v/>
      </c>
    </row>
    <row r="232">
      <c r="A232" t="n">
        <v>231</v>
      </c>
      <c r="B232" s="4">
        <f>MAX(0,_xlfn.NORM.INV(RAND(),Model!$B$4,Model!$B$11))</f>
        <v/>
      </c>
      <c r="C232" s="12">
        <f>Model!$B$12+(Model!$B$13-Model!$B$12)*RAND()</f>
        <v/>
      </c>
      <c r="D232" s="4">
        <f>MIN(B232,Model!$B$8)</f>
        <v/>
      </c>
      <c r="E232" s="6">
        <f>D232*(Model!$B$5-C232)-Model!$B$7</f>
        <v/>
      </c>
    </row>
    <row r="233">
      <c r="A233" t="n">
        <v>232</v>
      </c>
      <c r="B233" s="4">
        <f>MAX(0,_xlfn.NORM.INV(RAND(),Model!$B$4,Model!$B$11))</f>
        <v/>
      </c>
      <c r="C233" s="12">
        <f>Model!$B$12+(Model!$B$13-Model!$B$12)*RAND()</f>
        <v/>
      </c>
      <c r="D233" s="4">
        <f>MIN(B233,Model!$B$8)</f>
        <v/>
      </c>
      <c r="E233" s="6">
        <f>D233*(Model!$B$5-C233)-Model!$B$7</f>
        <v/>
      </c>
    </row>
    <row r="234">
      <c r="A234" t="n">
        <v>233</v>
      </c>
      <c r="B234" s="4">
        <f>MAX(0,_xlfn.NORM.INV(RAND(),Model!$B$4,Model!$B$11))</f>
        <v/>
      </c>
      <c r="C234" s="12">
        <f>Model!$B$12+(Model!$B$13-Model!$B$12)*RAND()</f>
        <v/>
      </c>
      <c r="D234" s="4">
        <f>MIN(B234,Model!$B$8)</f>
        <v/>
      </c>
      <c r="E234" s="6">
        <f>D234*(Model!$B$5-C234)-Model!$B$7</f>
        <v/>
      </c>
    </row>
    <row r="235">
      <c r="A235" t="n">
        <v>234</v>
      </c>
      <c r="B235" s="4">
        <f>MAX(0,_xlfn.NORM.INV(RAND(),Model!$B$4,Model!$B$11))</f>
        <v/>
      </c>
      <c r="C235" s="12">
        <f>Model!$B$12+(Model!$B$13-Model!$B$12)*RAND()</f>
        <v/>
      </c>
      <c r="D235" s="4">
        <f>MIN(B235,Model!$B$8)</f>
        <v/>
      </c>
      <c r="E235" s="6">
        <f>D235*(Model!$B$5-C235)-Model!$B$7</f>
        <v/>
      </c>
    </row>
    <row r="236">
      <c r="A236" t="n">
        <v>235</v>
      </c>
      <c r="B236" s="4">
        <f>MAX(0,_xlfn.NORM.INV(RAND(),Model!$B$4,Model!$B$11))</f>
        <v/>
      </c>
      <c r="C236" s="12">
        <f>Model!$B$12+(Model!$B$13-Model!$B$12)*RAND()</f>
        <v/>
      </c>
      <c r="D236" s="4">
        <f>MIN(B236,Model!$B$8)</f>
        <v/>
      </c>
      <c r="E236" s="6">
        <f>D236*(Model!$B$5-C236)-Model!$B$7</f>
        <v/>
      </c>
    </row>
    <row r="237">
      <c r="A237" t="n">
        <v>236</v>
      </c>
      <c r="B237" s="4">
        <f>MAX(0,_xlfn.NORM.INV(RAND(),Model!$B$4,Model!$B$11))</f>
        <v/>
      </c>
      <c r="C237" s="12">
        <f>Model!$B$12+(Model!$B$13-Model!$B$12)*RAND()</f>
        <v/>
      </c>
      <c r="D237" s="4">
        <f>MIN(B237,Model!$B$8)</f>
        <v/>
      </c>
      <c r="E237" s="6">
        <f>D237*(Model!$B$5-C237)-Model!$B$7</f>
        <v/>
      </c>
    </row>
    <row r="238">
      <c r="A238" t="n">
        <v>237</v>
      </c>
      <c r="B238" s="4">
        <f>MAX(0,_xlfn.NORM.INV(RAND(),Model!$B$4,Model!$B$11))</f>
        <v/>
      </c>
      <c r="C238" s="12">
        <f>Model!$B$12+(Model!$B$13-Model!$B$12)*RAND()</f>
        <v/>
      </c>
      <c r="D238" s="4">
        <f>MIN(B238,Model!$B$8)</f>
        <v/>
      </c>
      <c r="E238" s="6">
        <f>D238*(Model!$B$5-C238)-Model!$B$7</f>
        <v/>
      </c>
    </row>
    <row r="239">
      <c r="A239" t="n">
        <v>238</v>
      </c>
      <c r="B239" s="4">
        <f>MAX(0,_xlfn.NORM.INV(RAND(),Model!$B$4,Model!$B$11))</f>
        <v/>
      </c>
      <c r="C239" s="12">
        <f>Model!$B$12+(Model!$B$13-Model!$B$12)*RAND()</f>
        <v/>
      </c>
      <c r="D239" s="4">
        <f>MIN(B239,Model!$B$8)</f>
        <v/>
      </c>
      <c r="E239" s="6">
        <f>D239*(Model!$B$5-C239)-Model!$B$7</f>
        <v/>
      </c>
    </row>
    <row r="240">
      <c r="A240" t="n">
        <v>239</v>
      </c>
      <c r="B240" s="4">
        <f>MAX(0,_xlfn.NORM.INV(RAND(),Model!$B$4,Model!$B$11))</f>
        <v/>
      </c>
      <c r="C240" s="12">
        <f>Model!$B$12+(Model!$B$13-Model!$B$12)*RAND()</f>
        <v/>
      </c>
      <c r="D240" s="4">
        <f>MIN(B240,Model!$B$8)</f>
        <v/>
      </c>
      <c r="E240" s="6">
        <f>D240*(Model!$B$5-C240)-Model!$B$7</f>
        <v/>
      </c>
    </row>
    <row r="241">
      <c r="A241" t="n">
        <v>240</v>
      </c>
      <c r="B241" s="4">
        <f>MAX(0,_xlfn.NORM.INV(RAND(),Model!$B$4,Model!$B$11))</f>
        <v/>
      </c>
      <c r="C241" s="12">
        <f>Model!$B$12+(Model!$B$13-Model!$B$12)*RAND()</f>
        <v/>
      </c>
      <c r="D241" s="4">
        <f>MIN(B241,Model!$B$8)</f>
        <v/>
      </c>
      <c r="E241" s="6">
        <f>D241*(Model!$B$5-C241)-Model!$B$7</f>
        <v/>
      </c>
    </row>
    <row r="242">
      <c r="A242" t="n">
        <v>241</v>
      </c>
      <c r="B242" s="4">
        <f>MAX(0,_xlfn.NORM.INV(RAND(),Model!$B$4,Model!$B$11))</f>
        <v/>
      </c>
      <c r="C242" s="12">
        <f>Model!$B$12+(Model!$B$13-Model!$B$12)*RAND()</f>
        <v/>
      </c>
      <c r="D242" s="4">
        <f>MIN(B242,Model!$B$8)</f>
        <v/>
      </c>
      <c r="E242" s="6">
        <f>D242*(Model!$B$5-C242)-Model!$B$7</f>
        <v/>
      </c>
    </row>
    <row r="243">
      <c r="A243" t="n">
        <v>242</v>
      </c>
      <c r="B243" s="4">
        <f>MAX(0,_xlfn.NORM.INV(RAND(),Model!$B$4,Model!$B$11))</f>
        <v/>
      </c>
      <c r="C243" s="12">
        <f>Model!$B$12+(Model!$B$13-Model!$B$12)*RAND()</f>
        <v/>
      </c>
      <c r="D243" s="4">
        <f>MIN(B243,Model!$B$8)</f>
        <v/>
      </c>
      <c r="E243" s="6">
        <f>D243*(Model!$B$5-C243)-Model!$B$7</f>
        <v/>
      </c>
    </row>
    <row r="244">
      <c r="A244" t="n">
        <v>243</v>
      </c>
      <c r="B244" s="4">
        <f>MAX(0,_xlfn.NORM.INV(RAND(),Model!$B$4,Model!$B$11))</f>
        <v/>
      </c>
      <c r="C244" s="12">
        <f>Model!$B$12+(Model!$B$13-Model!$B$12)*RAND()</f>
        <v/>
      </c>
      <c r="D244" s="4">
        <f>MIN(B244,Model!$B$8)</f>
        <v/>
      </c>
      <c r="E244" s="6">
        <f>D244*(Model!$B$5-C244)-Model!$B$7</f>
        <v/>
      </c>
    </row>
    <row r="245">
      <c r="A245" t="n">
        <v>244</v>
      </c>
      <c r="B245" s="4">
        <f>MAX(0,_xlfn.NORM.INV(RAND(),Model!$B$4,Model!$B$11))</f>
        <v/>
      </c>
      <c r="C245" s="12">
        <f>Model!$B$12+(Model!$B$13-Model!$B$12)*RAND()</f>
        <v/>
      </c>
      <c r="D245" s="4">
        <f>MIN(B245,Model!$B$8)</f>
        <v/>
      </c>
      <c r="E245" s="6">
        <f>D245*(Model!$B$5-C245)-Model!$B$7</f>
        <v/>
      </c>
    </row>
    <row r="246">
      <c r="A246" t="n">
        <v>245</v>
      </c>
      <c r="B246" s="4">
        <f>MAX(0,_xlfn.NORM.INV(RAND(),Model!$B$4,Model!$B$11))</f>
        <v/>
      </c>
      <c r="C246" s="12">
        <f>Model!$B$12+(Model!$B$13-Model!$B$12)*RAND()</f>
        <v/>
      </c>
      <c r="D246" s="4">
        <f>MIN(B246,Model!$B$8)</f>
        <v/>
      </c>
      <c r="E246" s="6">
        <f>D246*(Model!$B$5-C246)-Model!$B$7</f>
        <v/>
      </c>
    </row>
    <row r="247">
      <c r="A247" t="n">
        <v>246</v>
      </c>
      <c r="B247" s="4">
        <f>MAX(0,_xlfn.NORM.INV(RAND(),Model!$B$4,Model!$B$11))</f>
        <v/>
      </c>
      <c r="C247" s="12">
        <f>Model!$B$12+(Model!$B$13-Model!$B$12)*RAND()</f>
        <v/>
      </c>
      <c r="D247" s="4">
        <f>MIN(B247,Model!$B$8)</f>
        <v/>
      </c>
      <c r="E247" s="6">
        <f>D247*(Model!$B$5-C247)-Model!$B$7</f>
        <v/>
      </c>
    </row>
    <row r="248">
      <c r="A248" t="n">
        <v>247</v>
      </c>
      <c r="B248" s="4">
        <f>MAX(0,_xlfn.NORM.INV(RAND(),Model!$B$4,Model!$B$11))</f>
        <v/>
      </c>
      <c r="C248" s="12">
        <f>Model!$B$12+(Model!$B$13-Model!$B$12)*RAND()</f>
        <v/>
      </c>
      <c r="D248" s="4">
        <f>MIN(B248,Model!$B$8)</f>
        <v/>
      </c>
      <c r="E248" s="6">
        <f>D248*(Model!$B$5-C248)-Model!$B$7</f>
        <v/>
      </c>
    </row>
    <row r="249">
      <c r="A249" t="n">
        <v>248</v>
      </c>
      <c r="B249" s="4">
        <f>MAX(0,_xlfn.NORM.INV(RAND(),Model!$B$4,Model!$B$11))</f>
        <v/>
      </c>
      <c r="C249" s="12">
        <f>Model!$B$12+(Model!$B$13-Model!$B$12)*RAND()</f>
        <v/>
      </c>
      <c r="D249" s="4">
        <f>MIN(B249,Model!$B$8)</f>
        <v/>
      </c>
      <c r="E249" s="6">
        <f>D249*(Model!$B$5-C249)-Model!$B$7</f>
        <v/>
      </c>
    </row>
    <row r="250">
      <c r="A250" t="n">
        <v>249</v>
      </c>
      <c r="B250" s="4">
        <f>MAX(0,_xlfn.NORM.INV(RAND(),Model!$B$4,Model!$B$11))</f>
        <v/>
      </c>
      <c r="C250" s="12">
        <f>Model!$B$12+(Model!$B$13-Model!$B$12)*RAND()</f>
        <v/>
      </c>
      <c r="D250" s="4">
        <f>MIN(B250,Model!$B$8)</f>
        <v/>
      </c>
      <c r="E250" s="6">
        <f>D250*(Model!$B$5-C250)-Model!$B$7</f>
        <v/>
      </c>
    </row>
    <row r="251">
      <c r="A251" t="n">
        <v>250</v>
      </c>
      <c r="B251" s="4">
        <f>MAX(0,_xlfn.NORM.INV(RAND(),Model!$B$4,Model!$B$11))</f>
        <v/>
      </c>
      <c r="C251" s="12">
        <f>Model!$B$12+(Model!$B$13-Model!$B$12)*RAND()</f>
        <v/>
      </c>
      <c r="D251" s="4">
        <f>MIN(B251,Model!$B$8)</f>
        <v/>
      </c>
      <c r="E251" s="6">
        <f>D251*(Model!$B$5-C251)-Model!$B$7</f>
        <v/>
      </c>
    </row>
    <row r="252">
      <c r="A252" t="n">
        <v>251</v>
      </c>
      <c r="B252" s="4">
        <f>MAX(0,_xlfn.NORM.INV(RAND(),Model!$B$4,Model!$B$11))</f>
        <v/>
      </c>
      <c r="C252" s="12">
        <f>Model!$B$12+(Model!$B$13-Model!$B$12)*RAND()</f>
        <v/>
      </c>
      <c r="D252" s="4">
        <f>MIN(B252,Model!$B$8)</f>
        <v/>
      </c>
      <c r="E252" s="6">
        <f>D252*(Model!$B$5-C252)-Model!$B$7</f>
        <v/>
      </c>
    </row>
    <row r="253">
      <c r="A253" t="n">
        <v>252</v>
      </c>
      <c r="B253" s="4">
        <f>MAX(0,_xlfn.NORM.INV(RAND(),Model!$B$4,Model!$B$11))</f>
        <v/>
      </c>
      <c r="C253" s="12">
        <f>Model!$B$12+(Model!$B$13-Model!$B$12)*RAND()</f>
        <v/>
      </c>
      <c r="D253" s="4">
        <f>MIN(B253,Model!$B$8)</f>
        <v/>
      </c>
      <c r="E253" s="6">
        <f>D253*(Model!$B$5-C253)-Model!$B$7</f>
        <v/>
      </c>
    </row>
    <row r="254">
      <c r="A254" t="n">
        <v>253</v>
      </c>
      <c r="B254" s="4">
        <f>MAX(0,_xlfn.NORM.INV(RAND(),Model!$B$4,Model!$B$11))</f>
        <v/>
      </c>
      <c r="C254" s="12">
        <f>Model!$B$12+(Model!$B$13-Model!$B$12)*RAND()</f>
        <v/>
      </c>
      <c r="D254" s="4">
        <f>MIN(B254,Model!$B$8)</f>
        <v/>
      </c>
      <c r="E254" s="6">
        <f>D254*(Model!$B$5-C254)-Model!$B$7</f>
        <v/>
      </c>
    </row>
    <row r="255">
      <c r="A255" t="n">
        <v>254</v>
      </c>
      <c r="B255" s="4">
        <f>MAX(0,_xlfn.NORM.INV(RAND(),Model!$B$4,Model!$B$11))</f>
        <v/>
      </c>
      <c r="C255" s="12">
        <f>Model!$B$12+(Model!$B$13-Model!$B$12)*RAND()</f>
        <v/>
      </c>
      <c r="D255" s="4">
        <f>MIN(B255,Model!$B$8)</f>
        <v/>
      </c>
      <c r="E255" s="6">
        <f>D255*(Model!$B$5-C255)-Model!$B$7</f>
        <v/>
      </c>
    </row>
    <row r="256">
      <c r="A256" t="n">
        <v>255</v>
      </c>
      <c r="B256" s="4">
        <f>MAX(0,_xlfn.NORM.INV(RAND(),Model!$B$4,Model!$B$11))</f>
        <v/>
      </c>
      <c r="C256" s="12">
        <f>Model!$B$12+(Model!$B$13-Model!$B$12)*RAND()</f>
        <v/>
      </c>
      <c r="D256" s="4">
        <f>MIN(B256,Model!$B$8)</f>
        <v/>
      </c>
      <c r="E256" s="6">
        <f>D256*(Model!$B$5-C256)-Model!$B$7</f>
        <v/>
      </c>
    </row>
    <row r="257">
      <c r="A257" t="n">
        <v>256</v>
      </c>
      <c r="B257" s="4">
        <f>MAX(0,_xlfn.NORM.INV(RAND(),Model!$B$4,Model!$B$11))</f>
        <v/>
      </c>
      <c r="C257" s="12">
        <f>Model!$B$12+(Model!$B$13-Model!$B$12)*RAND()</f>
        <v/>
      </c>
      <c r="D257" s="4">
        <f>MIN(B257,Model!$B$8)</f>
        <v/>
      </c>
      <c r="E257" s="6">
        <f>D257*(Model!$B$5-C257)-Model!$B$7</f>
        <v/>
      </c>
    </row>
    <row r="258">
      <c r="A258" t="n">
        <v>257</v>
      </c>
      <c r="B258" s="4">
        <f>MAX(0,_xlfn.NORM.INV(RAND(),Model!$B$4,Model!$B$11))</f>
        <v/>
      </c>
      <c r="C258" s="12">
        <f>Model!$B$12+(Model!$B$13-Model!$B$12)*RAND()</f>
        <v/>
      </c>
      <c r="D258" s="4">
        <f>MIN(B258,Model!$B$8)</f>
        <v/>
      </c>
      <c r="E258" s="6">
        <f>D258*(Model!$B$5-C258)-Model!$B$7</f>
        <v/>
      </c>
    </row>
    <row r="259">
      <c r="A259" t="n">
        <v>258</v>
      </c>
      <c r="B259" s="4">
        <f>MAX(0,_xlfn.NORM.INV(RAND(),Model!$B$4,Model!$B$11))</f>
        <v/>
      </c>
      <c r="C259" s="12">
        <f>Model!$B$12+(Model!$B$13-Model!$B$12)*RAND()</f>
        <v/>
      </c>
      <c r="D259" s="4">
        <f>MIN(B259,Model!$B$8)</f>
        <v/>
      </c>
      <c r="E259" s="6">
        <f>D259*(Model!$B$5-C259)-Model!$B$7</f>
        <v/>
      </c>
    </row>
    <row r="260">
      <c r="A260" t="n">
        <v>259</v>
      </c>
      <c r="B260" s="4">
        <f>MAX(0,_xlfn.NORM.INV(RAND(),Model!$B$4,Model!$B$11))</f>
        <v/>
      </c>
      <c r="C260" s="12">
        <f>Model!$B$12+(Model!$B$13-Model!$B$12)*RAND()</f>
        <v/>
      </c>
      <c r="D260" s="4">
        <f>MIN(B260,Model!$B$8)</f>
        <v/>
      </c>
      <c r="E260" s="6">
        <f>D260*(Model!$B$5-C260)-Model!$B$7</f>
        <v/>
      </c>
    </row>
    <row r="261">
      <c r="A261" t="n">
        <v>260</v>
      </c>
      <c r="B261" s="4">
        <f>MAX(0,_xlfn.NORM.INV(RAND(),Model!$B$4,Model!$B$11))</f>
        <v/>
      </c>
      <c r="C261" s="12">
        <f>Model!$B$12+(Model!$B$13-Model!$B$12)*RAND()</f>
        <v/>
      </c>
      <c r="D261" s="4">
        <f>MIN(B261,Model!$B$8)</f>
        <v/>
      </c>
      <c r="E261" s="6">
        <f>D261*(Model!$B$5-C261)-Model!$B$7</f>
        <v/>
      </c>
    </row>
    <row r="262">
      <c r="A262" t="n">
        <v>261</v>
      </c>
      <c r="B262" s="4">
        <f>MAX(0,_xlfn.NORM.INV(RAND(),Model!$B$4,Model!$B$11))</f>
        <v/>
      </c>
      <c r="C262" s="12">
        <f>Model!$B$12+(Model!$B$13-Model!$B$12)*RAND()</f>
        <v/>
      </c>
      <c r="D262" s="4">
        <f>MIN(B262,Model!$B$8)</f>
        <v/>
      </c>
      <c r="E262" s="6">
        <f>D262*(Model!$B$5-C262)-Model!$B$7</f>
        <v/>
      </c>
    </row>
    <row r="263">
      <c r="A263" t="n">
        <v>262</v>
      </c>
      <c r="B263" s="4">
        <f>MAX(0,_xlfn.NORM.INV(RAND(),Model!$B$4,Model!$B$11))</f>
        <v/>
      </c>
      <c r="C263" s="12">
        <f>Model!$B$12+(Model!$B$13-Model!$B$12)*RAND()</f>
        <v/>
      </c>
      <c r="D263" s="4">
        <f>MIN(B263,Model!$B$8)</f>
        <v/>
      </c>
      <c r="E263" s="6">
        <f>D263*(Model!$B$5-C263)-Model!$B$7</f>
        <v/>
      </c>
    </row>
    <row r="264">
      <c r="A264" t="n">
        <v>263</v>
      </c>
      <c r="B264" s="4">
        <f>MAX(0,_xlfn.NORM.INV(RAND(),Model!$B$4,Model!$B$11))</f>
        <v/>
      </c>
      <c r="C264" s="12">
        <f>Model!$B$12+(Model!$B$13-Model!$B$12)*RAND()</f>
        <v/>
      </c>
      <c r="D264" s="4">
        <f>MIN(B264,Model!$B$8)</f>
        <v/>
      </c>
      <c r="E264" s="6">
        <f>D264*(Model!$B$5-C264)-Model!$B$7</f>
        <v/>
      </c>
    </row>
    <row r="265">
      <c r="A265" t="n">
        <v>264</v>
      </c>
      <c r="B265" s="4">
        <f>MAX(0,_xlfn.NORM.INV(RAND(),Model!$B$4,Model!$B$11))</f>
        <v/>
      </c>
      <c r="C265" s="12">
        <f>Model!$B$12+(Model!$B$13-Model!$B$12)*RAND()</f>
        <v/>
      </c>
      <c r="D265" s="4">
        <f>MIN(B265,Model!$B$8)</f>
        <v/>
      </c>
      <c r="E265" s="6">
        <f>D265*(Model!$B$5-C265)-Model!$B$7</f>
        <v/>
      </c>
    </row>
    <row r="266">
      <c r="A266" t="n">
        <v>265</v>
      </c>
      <c r="B266" s="4">
        <f>MAX(0,_xlfn.NORM.INV(RAND(),Model!$B$4,Model!$B$11))</f>
        <v/>
      </c>
      <c r="C266" s="12">
        <f>Model!$B$12+(Model!$B$13-Model!$B$12)*RAND()</f>
        <v/>
      </c>
      <c r="D266" s="4">
        <f>MIN(B266,Model!$B$8)</f>
        <v/>
      </c>
      <c r="E266" s="6">
        <f>D266*(Model!$B$5-C266)-Model!$B$7</f>
        <v/>
      </c>
    </row>
    <row r="267">
      <c r="A267" t="n">
        <v>266</v>
      </c>
      <c r="B267" s="4">
        <f>MAX(0,_xlfn.NORM.INV(RAND(),Model!$B$4,Model!$B$11))</f>
        <v/>
      </c>
      <c r="C267" s="12">
        <f>Model!$B$12+(Model!$B$13-Model!$B$12)*RAND()</f>
        <v/>
      </c>
      <c r="D267" s="4">
        <f>MIN(B267,Model!$B$8)</f>
        <v/>
      </c>
      <c r="E267" s="6">
        <f>D267*(Model!$B$5-C267)-Model!$B$7</f>
        <v/>
      </c>
    </row>
    <row r="268">
      <c r="A268" t="n">
        <v>267</v>
      </c>
      <c r="B268" s="4">
        <f>MAX(0,_xlfn.NORM.INV(RAND(),Model!$B$4,Model!$B$11))</f>
        <v/>
      </c>
      <c r="C268" s="12">
        <f>Model!$B$12+(Model!$B$13-Model!$B$12)*RAND()</f>
        <v/>
      </c>
      <c r="D268" s="4">
        <f>MIN(B268,Model!$B$8)</f>
        <v/>
      </c>
      <c r="E268" s="6">
        <f>D268*(Model!$B$5-C268)-Model!$B$7</f>
        <v/>
      </c>
    </row>
    <row r="269">
      <c r="A269" t="n">
        <v>268</v>
      </c>
      <c r="B269" s="4">
        <f>MAX(0,_xlfn.NORM.INV(RAND(),Model!$B$4,Model!$B$11))</f>
        <v/>
      </c>
      <c r="C269" s="12">
        <f>Model!$B$12+(Model!$B$13-Model!$B$12)*RAND()</f>
        <v/>
      </c>
      <c r="D269" s="4">
        <f>MIN(B269,Model!$B$8)</f>
        <v/>
      </c>
      <c r="E269" s="6">
        <f>D269*(Model!$B$5-C269)-Model!$B$7</f>
        <v/>
      </c>
    </row>
    <row r="270">
      <c r="A270" t="n">
        <v>269</v>
      </c>
      <c r="B270" s="4">
        <f>MAX(0,_xlfn.NORM.INV(RAND(),Model!$B$4,Model!$B$11))</f>
        <v/>
      </c>
      <c r="C270" s="12">
        <f>Model!$B$12+(Model!$B$13-Model!$B$12)*RAND()</f>
        <v/>
      </c>
      <c r="D270" s="4">
        <f>MIN(B270,Model!$B$8)</f>
        <v/>
      </c>
      <c r="E270" s="6">
        <f>D270*(Model!$B$5-C270)-Model!$B$7</f>
        <v/>
      </c>
    </row>
    <row r="271">
      <c r="A271" t="n">
        <v>270</v>
      </c>
      <c r="B271" s="4">
        <f>MAX(0,_xlfn.NORM.INV(RAND(),Model!$B$4,Model!$B$11))</f>
        <v/>
      </c>
      <c r="C271" s="12">
        <f>Model!$B$12+(Model!$B$13-Model!$B$12)*RAND()</f>
        <v/>
      </c>
      <c r="D271" s="4">
        <f>MIN(B271,Model!$B$8)</f>
        <v/>
      </c>
      <c r="E271" s="6">
        <f>D271*(Model!$B$5-C271)-Model!$B$7</f>
        <v/>
      </c>
    </row>
    <row r="272">
      <c r="A272" t="n">
        <v>271</v>
      </c>
      <c r="B272" s="4">
        <f>MAX(0,_xlfn.NORM.INV(RAND(),Model!$B$4,Model!$B$11))</f>
        <v/>
      </c>
      <c r="C272" s="12">
        <f>Model!$B$12+(Model!$B$13-Model!$B$12)*RAND()</f>
        <v/>
      </c>
      <c r="D272" s="4">
        <f>MIN(B272,Model!$B$8)</f>
        <v/>
      </c>
      <c r="E272" s="6">
        <f>D272*(Model!$B$5-C272)-Model!$B$7</f>
        <v/>
      </c>
    </row>
    <row r="273">
      <c r="A273" t="n">
        <v>272</v>
      </c>
      <c r="B273" s="4">
        <f>MAX(0,_xlfn.NORM.INV(RAND(),Model!$B$4,Model!$B$11))</f>
        <v/>
      </c>
      <c r="C273" s="12">
        <f>Model!$B$12+(Model!$B$13-Model!$B$12)*RAND()</f>
        <v/>
      </c>
      <c r="D273" s="4">
        <f>MIN(B273,Model!$B$8)</f>
        <v/>
      </c>
      <c r="E273" s="6">
        <f>D273*(Model!$B$5-C273)-Model!$B$7</f>
        <v/>
      </c>
    </row>
    <row r="274">
      <c r="A274" t="n">
        <v>273</v>
      </c>
      <c r="B274" s="4">
        <f>MAX(0,_xlfn.NORM.INV(RAND(),Model!$B$4,Model!$B$11))</f>
        <v/>
      </c>
      <c r="C274" s="12">
        <f>Model!$B$12+(Model!$B$13-Model!$B$12)*RAND()</f>
        <v/>
      </c>
      <c r="D274" s="4">
        <f>MIN(B274,Model!$B$8)</f>
        <v/>
      </c>
      <c r="E274" s="6">
        <f>D274*(Model!$B$5-C274)-Model!$B$7</f>
        <v/>
      </c>
    </row>
    <row r="275">
      <c r="A275" t="n">
        <v>274</v>
      </c>
      <c r="B275" s="4">
        <f>MAX(0,_xlfn.NORM.INV(RAND(),Model!$B$4,Model!$B$11))</f>
        <v/>
      </c>
      <c r="C275" s="12">
        <f>Model!$B$12+(Model!$B$13-Model!$B$12)*RAND()</f>
        <v/>
      </c>
      <c r="D275" s="4">
        <f>MIN(B275,Model!$B$8)</f>
        <v/>
      </c>
      <c r="E275" s="6">
        <f>D275*(Model!$B$5-C275)-Model!$B$7</f>
        <v/>
      </c>
    </row>
    <row r="276">
      <c r="A276" t="n">
        <v>275</v>
      </c>
      <c r="B276" s="4">
        <f>MAX(0,_xlfn.NORM.INV(RAND(),Model!$B$4,Model!$B$11))</f>
        <v/>
      </c>
      <c r="C276" s="12">
        <f>Model!$B$12+(Model!$B$13-Model!$B$12)*RAND()</f>
        <v/>
      </c>
      <c r="D276" s="4">
        <f>MIN(B276,Model!$B$8)</f>
        <v/>
      </c>
      <c r="E276" s="6">
        <f>D276*(Model!$B$5-C276)-Model!$B$7</f>
        <v/>
      </c>
    </row>
    <row r="277">
      <c r="A277" t="n">
        <v>276</v>
      </c>
      <c r="B277" s="4">
        <f>MAX(0,_xlfn.NORM.INV(RAND(),Model!$B$4,Model!$B$11))</f>
        <v/>
      </c>
      <c r="C277" s="12">
        <f>Model!$B$12+(Model!$B$13-Model!$B$12)*RAND()</f>
        <v/>
      </c>
      <c r="D277" s="4">
        <f>MIN(B277,Model!$B$8)</f>
        <v/>
      </c>
      <c r="E277" s="6">
        <f>D277*(Model!$B$5-C277)-Model!$B$7</f>
        <v/>
      </c>
    </row>
    <row r="278">
      <c r="A278" t="n">
        <v>277</v>
      </c>
      <c r="B278" s="4">
        <f>MAX(0,_xlfn.NORM.INV(RAND(),Model!$B$4,Model!$B$11))</f>
        <v/>
      </c>
      <c r="C278" s="12">
        <f>Model!$B$12+(Model!$B$13-Model!$B$12)*RAND()</f>
        <v/>
      </c>
      <c r="D278" s="4">
        <f>MIN(B278,Model!$B$8)</f>
        <v/>
      </c>
      <c r="E278" s="6">
        <f>D278*(Model!$B$5-C278)-Model!$B$7</f>
        <v/>
      </c>
    </row>
    <row r="279">
      <c r="A279" t="n">
        <v>278</v>
      </c>
      <c r="B279" s="4">
        <f>MAX(0,_xlfn.NORM.INV(RAND(),Model!$B$4,Model!$B$11))</f>
        <v/>
      </c>
      <c r="C279" s="12">
        <f>Model!$B$12+(Model!$B$13-Model!$B$12)*RAND()</f>
        <v/>
      </c>
      <c r="D279" s="4">
        <f>MIN(B279,Model!$B$8)</f>
        <v/>
      </c>
      <c r="E279" s="6">
        <f>D279*(Model!$B$5-C279)-Model!$B$7</f>
        <v/>
      </c>
    </row>
    <row r="280">
      <c r="A280" t="n">
        <v>279</v>
      </c>
      <c r="B280" s="4">
        <f>MAX(0,_xlfn.NORM.INV(RAND(),Model!$B$4,Model!$B$11))</f>
        <v/>
      </c>
      <c r="C280" s="12">
        <f>Model!$B$12+(Model!$B$13-Model!$B$12)*RAND()</f>
        <v/>
      </c>
      <c r="D280" s="4">
        <f>MIN(B280,Model!$B$8)</f>
        <v/>
      </c>
      <c r="E280" s="6">
        <f>D280*(Model!$B$5-C280)-Model!$B$7</f>
        <v/>
      </c>
    </row>
    <row r="281">
      <c r="A281" t="n">
        <v>280</v>
      </c>
      <c r="B281" s="4">
        <f>MAX(0,_xlfn.NORM.INV(RAND(),Model!$B$4,Model!$B$11))</f>
        <v/>
      </c>
      <c r="C281" s="12">
        <f>Model!$B$12+(Model!$B$13-Model!$B$12)*RAND()</f>
        <v/>
      </c>
      <c r="D281" s="4">
        <f>MIN(B281,Model!$B$8)</f>
        <v/>
      </c>
      <c r="E281" s="6">
        <f>D281*(Model!$B$5-C281)-Model!$B$7</f>
        <v/>
      </c>
    </row>
    <row r="282">
      <c r="A282" t="n">
        <v>281</v>
      </c>
      <c r="B282" s="4">
        <f>MAX(0,_xlfn.NORM.INV(RAND(),Model!$B$4,Model!$B$11))</f>
        <v/>
      </c>
      <c r="C282" s="12">
        <f>Model!$B$12+(Model!$B$13-Model!$B$12)*RAND()</f>
        <v/>
      </c>
      <c r="D282" s="4">
        <f>MIN(B282,Model!$B$8)</f>
        <v/>
      </c>
      <c r="E282" s="6">
        <f>D282*(Model!$B$5-C282)-Model!$B$7</f>
        <v/>
      </c>
    </row>
    <row r="283">
      <c r="A283" t="n">
        <v>282</v>
      </c>
      <c r="B283" s="4">
        <f>MAX(0,_xlfn.NORM.INV(RAND(),Model!$B$4,Model!$B$11))</f>
        <v/>
      </c>
      <c r="C283" s="12">
        <f>Model!$B$12+(Model!$B$13-Model!$B$12)*RAND()</f>
        <v/>
      </c>
      <c r="D283" s="4">
        <f>MIN(B283,Model!$B$8)</f>
        <v/>
      </c>
      <c r="E283" s="6">
        <f>D283*(Model!$B$5-C283)-Model!$B$7</f>
        <v/>
      </c>
    </row>
    <row r="284">
      <c r="A284" t="n">
        <v>283</v>
      </c>
      <c r="B284" s="4">
        <f>MAX(0,_xlfn.NORM.INV(RAND(),Model!$B$4,Model!$B$11))</f>
        <v/>
      </c>
      <c r="C284" s="12">
        <f>Model!$B$12+(Model!$B$13-Model!$B$12)*RAND()</f>
        <v/>
      </c>
      <c r="D284" s="4">
        <f>MIN(B284,Model!$B$8)</f>
        <v/>
      </c>
      <c r="E284" s="6">
        <f>D284*(Model!$B$5-C284)-Model!$B$7</f>
        <v/>
      </c>
    </row>
    <row r="285">
      <c r="A285" t="n">
        <v>284</v>
      </c>
      <c r="B285" s="4">
        <f>MAX(0,_xlfn.NORM.INV(RAND(),Model!$B$4,Model!$B$11))</f>
        <v/>
      </c>
      <c r="C285" s="12">
        <f>Model!$B$12+(Model!$B$13-Model!$B$12)*RAND()</f>
        <v/>
      </c>
      <c r="D285" s="4">
        <f>MIN(B285,Model!$B$8)</f>
        <v/>
      </c>
      <c r="E285" s="6">
        <f>D285*(Model!$B$5-C285)-Model!$B$7</f>
        <v/>
      </c>
    </row>
    <row r="286">
      <c r="A286" t="n">
        <v>285</v>
      </c>
      <c r="B286" s="4">
        <f>MAX(0,_xlfn.NORM.INV(RAND(),Model!$B$4,Model!$B$11))</f>
        <v/>
      </c>
      <c r="C286" s="12">
        <f>Model!$B$12+(Model!$B$13-Model!$B$12)*RAND()</f>
        <v/>
      </c>
      <c r="D286" s="4">
        <f>MIN(B286,Model!$B$8)</f>
        <v/>
      </c>
      <c r="E286" s="6">
        <f>D286*(Model!$B$5-C286)-Model!$B$7</f>
        <v/>
      </c>
    </row>
    <row r="287">
      <c r="A287" t="n">
        <v>286</v>
      </c>
      <c r="B287" s="4">
        <f>MAX(0,_xlfn.NORM.INV(RAND(),Model!$B$4,Model!$B$11))</f>
        <v/>
      </c>
      <c r="C287" s="12">
        <f>Model!$B$12+(Model!$B$13-Model!$B$12)*RAND()</f>
        <v/>
      </c>
      <c r="D287" s="4">
        <f>MIN(B287,Model!$B$8)</f>
        <v/>
      </c>
      <c r="E287" s="6">
        <f>D287*(Model!$B$5-C287)-Model!$B$7</f>
        <v/>
      </c>
    </row>
    <row r="288">
      <c r="A288" t="n">
        <v>287</v>
      </c>
      <c r="B288" s="4">
        <f>MAX(0,_xlfn.NORM.INV(RAND(),Model!$B$4,Model!$B$11))</f>
        <v/>
      </c>
      <c r="C288" s="12">
        <f>Model!$B$12+(Model!$B$13-Model!$B$12)*RAND()</f>
        <v/>
      </c>
      <c r="D288" s="4">
        <f>MIN(B288,Model!$B$8)</f>
        <v/>
      </c>
      <c r="E288" s="6">
        <f>D288*(Model!$B$5-C288)-Model!$B$7</f>
        <v/>
      </c>
    </row>
    <row r="289">
      <c r="A289" t="n">
        <v>288</v>
      </c>
      <c r="B289" s="4">
        <f>MAX(0,_xlfn.NORM.INV(RAND(),Model!$B$4,Model!$B$11))</f>
        <v/>
      </c>
      <c r="C289" s="12">
        <f>Model!$B$12+(Model!$B$13-Model!$B$12)*RAND()</f>
        <v/>
      </c>
      <c r="D289" s="4">
        <f>MIN(B289,Model!$B$8)</f>
        <v/>
      </c>
      <c r="E289" s="6">
        <f>D289*(Model!$B$5-C289)-Model!$B$7</f>
        <v/>
      </c>
    </row>
    <row r="290">
      <c r="A290" t="n">
        <v>289</v>
      </c>
      <c r="B290" s="4">
        <f>MAX(0,_xlfn.NORM.INV(RAND(),Model!$B$4,Model!$B$11))</f>
        <v/>
      </c>
      <c r="C290" s="12">
        <f>Model!$B$12+(Model!$B$13-Model!$B$12)*RAND()</f>
        <v/>
      </c>
      <c r="D290" s="4">
        <f>MIN(B290,Model!$B$8)</f>
        <v/>
      </c>
      <c r="E290" s="6">
        <f>D290*(Model!$B$5-C290)-Model!$B$7</f>
        <v/>
      </c>
    </row>
    <row r="291">
      <c r="A291" t="n">
        <v>290</v>
      </c>
      <c r="B291" s="4">
        <f>MAX(0,_xlfn.NORM.INV(RAND(),Model!$B$4,Model!$B$11))</f>
        <v/>
      </c>
      <c r="C291" s="12">
        <f>Model!$B$12+(Model!$B$13-Model!$B$12)*RAND()</f>
        <v/>
      </c>
      <c r="D291" s="4">
        <f>MIN(B291,Model!$B$8)</f>
        <v/>
      </c>
      <c r="E291" s="6">
        <f>D291*(Model!$B$5-C291)-Model!$B$7</f>
        <v/>
      </c>
    </row>
    <row r="292">
      <c r="A292" t="n">
        <v>291</v>
      </c>
      <c r="B292" s="4">
        <f>MAX(0,_xlfn.NORM.INV(RAND(),Model!$B$4,Model!$B$11))</f>
        <v/>
      </c>
      <c r="C292" s="12">
        <f>Model!$B$12+(Model!$B$13-Model!$B$12)*RAND()</f>
        <v/>
      </c>
      <c r="D292" s="4">
        <f>MIN(B292,Model!$B$8)</f>
        <v/>
      </c>
      <c r="E292" s="6">
        <f>D292*(Model!$B$5-C292)-Model!$B$7</f>
        <v/>
      </c>
    </row>
    <row r="293">
      <c r="A293" t="n">
        <v>292</v>
      </c>
      <c r="B293" s="4">
        <f>MAX(0,_xlfn.NORM.INV(RAND(),Model!$B$4,Model!$B$11))</f>
        <v/>
      </c>
      <c r="C293" s="12">
        <f>Model!$B$12+(Model!$B$13-Model!$B$12)*RAND()</f>
        <v/>
      </c>
      <c r="D293" s="4">
        <f>MIN(B293,Model!$B$8)</f>
        <v/>
      </c>
      <c r="E293" s="6">
        <f>D293*(Model!$B$5-C293)-Model!$B$7</f>
        <v/>
      </c>
    </row>
    <row r="294">
      <c r="A294" t="n">
        <v>293</v>
      </c>
      <c r="B294" s="4">
        <f>MAX(0,_xlfn.NORM.INV(RAND(),Model!$B$4,Model!$B$11))</f>
        <v/>
      </c>
      <c r="C294" s="12">
        <f>Model!$B$12+(Model!$B$13-Model!$B$12)*RAND()</f>
        <v/>
      </c>
      <c r="D294" s="4">
        <f>MIN(B294,Model!$B$8)</f>
        <v/>
      </c>
      <c r="E294" s="6">
        <f>D294*(Model!$B$5-C294)-Model!$B$7</f>
        <v/>
      </c>
    </row>
    <row r="295">
      <c r="A295" t="n">
        <v>294</v>
      </c>
      <c r="B295" s="4">
        <f>MAX(0,_xlfn.NORM.INV(RAND(),Model!$B$4,Model!$B$11))</f>
        <v/>
      </c>
      <c r="C295" s="12">
        <f>Model!$B$12+(Model!$B$13-Model!$B$12)*RAND()</f>
        <v/>
      </c>
      <c r="D295" s="4">
        <f>MIN(B295,Model!$B$8)</f>
        <v/>
      </c>
      <c r="E295" s="6">
        <f>D295*(Model!$B$5-C295)-Model!$B$7</f>
        <v/>
      </c>
    </row>
    <row r="296">
      <c r="A296" t="n">
        <v>295</v>
      </c>
      <c r="B296" s="4">
        <f>MAX(0,_xlfn.NORM.INV(RAND(),Model!$B$4,Model!$B$11))</f>
        <v/>
      </c>
      <c r="C296" s="12">
        <f>Model!$B$12+(Model!$B$13-Model!$B$12)*RAND()</f>
        <v/>
      </c>
      <c r="D296" s="4">
        <f>MIN(B296,Model!$B$8)</f>
        <v/>
      </c>
      <c r="E296" s="6">
        <f>D296*(Model!$B$5-C296)-Model!$B$7</f>
        <v/>
      </c>
    </row>
    <row r="297">
      <c r="A297" t="n">
        <v>296</v>
      </c>
      <c r="B297" s="4">
        <f>MAX(0,_xlfn.NORM.INV(RAND(),Model!$B$4,Model!$B$11))</f>
        <v/>
      </c>
      <c r="C297" s="12">
        <f>Model!$B$12+(Model!$B$13-Model!$B$12)*RAND()</f>
        <v/>
      </c>
      <c r="D297" s="4">
        <f>MIN(B297,Model!$B$8)</f>
        <v/>
      </c>
      <c r="E297" s="6">
        <f>D297*(Model!$B$5-C297)-Model!$B$7</f>
        <v/>
      </c>
    </row>
    <row r="298">
      <c r="A298" t="n">
        <v>297</v>
      </c>
      <c r="B298" s="4">
        <f>MAX(0,_xlfn.NORM.INV(RAND(),Model!$B$4,Model!$B$11))</f>
        <v/>
      </c>
      <c r="C298" s="12">
        <f>Model!$B$12+(Model!$B$13-Model!$B$12)*RAND()</f>
        <v/>
      </c>
      <c r="D298" s="4">
        <f>MIN(B298,Model!$B$8)</f>
        <v/>
      </c>
      <c r="E298" s="6">
        <f>D298*(Model!$B$5-C298)-Model!$B$7</f>
        <v/>
      </c>
    </row>
    <row r="299">
      <c r="A299" t="n">
        <v>298</v>
      </c>
      <c r="B299" s="4">
        <f>MAX(0,_xlfn.NORM.INV(RAND(),Model!$B$4,Model!$B$11))</f>
        <v/>
      </c>
      <c r="C299" s="12">
        <f>Model!$B$12+(Model!$B$13-Model!$B$12)*RAND()</f>
        <v/>
      </c>
      <c r="D299" s="4">
        <f>MIN(B299,Model!$B$8)</f>
        <v/>
      </c>
      <c r="E299" s="6">
        <f>D299*(Model!$B$5-C299)-Model!$B$7</f>
        <v/>
      </c>
    </row>
    <row r="300">
      <c r="A300" t="n">
        <v>299</v>
      </c>
      <c r="B300" s="4">
        <f>MAX(0,_xlfn.NORM.INV(RAND(),Model!$B$4,Model!$B$11))</f>
        <v/>
      </c>
      <c r="C300" s="12">
        <f>Model!$B$12+(Model!$B$13-Model!$B$12)*RAND()</f>
        <v/>
      </c>
      <c r="D300" s="4">
        <f>MIN(B300,Model!$B$8)</f>
        <v/>
      </c>
      <c r="E300" s="6">
        <f>D300*(Model!$B$5-C300)-Model!$B$7</f>
        <v/>
      </c>
    </row>
    <row r="301">
      <c r="A301" t="n">
        <v>300</v>
      </c>
      <c r="B301" s="4">
        <f>MAX(0,_xlfn.NORM.INV(RAND(),Model!$B$4,Model!$B$11))</f>
        <v/>
      </c>
      <c r="C301" s="12">
        <f>Model!$B$12+(Model!$B$13-Model!$B$12)*RAND()</f>
        <v/>
      </c>
      <c r="D301" s="4">
        <f>MIN(B301,Model!$B$8)</f>
        <v/>
      </c>
      <c r="E301" s="6">
        <f>D301*(Model!$B$5-C301)-Model!$B$7</f>
        <v/>
      </c>
    </row>
    <row r="302">
      <c r="A302" t="n">
        <v>301</v>
      </c>
      <c r="B302" s="4">
        <f>MAX(0,_xlfn.NORM.INV(RAND(),Model!$B$4,Model!$B$11))</f>
        <v/>
      </c>
      <c r="C302" s="12">
        <f>Model!$B$12+(Model!$B$13-Model!$B$12)*RAND()</f>
        <v/>
      </c>
      <c r="D302" s="4">
        <f>MIN(B302,Model!$B$8)</f>
        <v/>
      </c>
      <c r="E302" s="6">
        <f>D302*(Model!$B$5-C302)-Model!$B$7</f>
        <v/>
      </c>
    </row>
    <row r="303">
      <c r="A303" t="n">
        <v>302</v>
      </c>
      <c r="B303" s="4">
        <f>MAX(0,_xlfn.NORM.INV(RAND(),Model!$B$4,Model!$B$11))</f>
        <v/>
      </c>
      <c r="C303" s="12">
        <f>Model!$B$12+(Model!$B$13-Model!$B$12)*RAND()</f>
        <v/>
      </c>
      <c r="D303" s="4">
        <f>MIN(B303,Model!$B$8)</f>
        <v/>
      </c>
      <c r="E303" s="6">
        <f>D303*(Model!$B$5-C303)-Model!$B$7</f>
        <v/>
      </c>
    </row>
    <row r="304">
      <c r="A304" t="n">
        <v>303</v>
      </c>
      <c r="B304" s="4">
        <f>MAX(0,_xlfn.NORM.INV(RAND(),Model!$B$4,Model!$B$11))</f>
        <v/>
      </c>
      <c r="C304" s="12">
        <f>Model!$B$12+(Model!$B$13-Model!$B$12)*RAND()</f>
        <v/>
      </c>
      <c r="D304" s="4">
        <f>MIN(B304,Model!$B$8)</f>
        <v/>
      </c>
      <c r="E304" s="6">
        <f>D304*(Model!$B$5-C304)-Model!$B$7</f>
        <v/>
      </c>
    </row>
    <row r="305">
      <c r="A305" t="n">
        <v>304</v>
      </c>
      <c r="B305" s="4">
        <f>MAX(0,_xlfn.NORM.INV(RAND(),Model!$B$4,Model!$B$11))</f>
        <v/>
      </c>
      <c r="C305" s="12">
        <f>Model!$B$12+(Model!$B$13-Model!$B$12)*RAND()</f>
        <v/>
      </c>
      <c r="D305" s="4">
        <f>MIN(B305,Model!$B$8)</f>
        <v/>
      </c>
      <c r="E305" s="6">
        <f>D305*(Model!$B$5-C305)-Model!$B$7</f>
        <v/>
      </c>
    </row>
    <row r="306">
      <c r="A306" t="n">
        <v>305</v>
      </c>
      <c r="B306" s="4">
        <f>MAX(0,_xlfn.NORM.INV(RAND(),Model!$B$4,Model!$B$11))</f>
        <v/>
      </c>
      <c r="C306" s="12">
        <f>Model!$B$12+(Model!$B$13-Model!$B$12)*RAND()</f>
        <v/>
      </c>
      <c r="D306" s="4">
        <f>MIN(B306,Model!$B$8)</f>
        <v/>
      </c>
      <c r="E306" s="6">
        <f>D306*(Model!$B$5-C306)-Model!$B$7</f>
        <v/>
      </c>
    </row>
    <row r="307">
      <c r="A307" t="n">
        <v>306</v>
      </c>
      <c r="B307" s="4">
        <f>MAX(0,_xlfn.NORM.INV(RAND(),Model!$B$4,Model!$B$11))</f>
        <v/>
      </c>
      <c r="C307" s="12">
        <f>Model!$B$12+(Model!$B$13-Model!$B$12)*RAND()</f>
        <v/>
      </c>
      <c r="D307" s="4">
        <f>MIN(B307,Model!$B$8)</f>
        <v/>
      </c>
      <c r="E307" s="6">
        <f>D307*(Model!$B$5-C307)-Model!$B$7</f>
        <v/>
      </c>
    </row>
    <row r="308">
      <c r="A308" t="n">
        <v>307</v>
      </c>
      <c r="B308" s="4">
        <f>MAX(0,_xlfn.NORM.INV(RAND(),Model!$B$4,Model!$B$11))</f>
        <v/>
      </c>
      <c r="C308" s="12">
        <f>Model!$B$12+(Model!$B$13-Model!$B$12)*RAND()</f>
        <v/>
      </c>
      <c r="D308" s="4">
        <f>MIN(B308,Model!$B$8)</f>
        <v/>
      </c>
      <c r="E308" s="6">
        <f>D308*(Model!$B$5-C308)-Model!$B$7</f>
        <v/>
      </c>
    </row>
    <row r="309">
      <c r="A309" t="n">
        <v>308</v>
      </c>
      <c r="B309" s="4">
        <f>MAX(0,_xlfn.NORM.INV(RAND(),Model!$B$4,Model!$B$11))</f>
        <v/>
      </c>
      <c r="C309" s="12">
        <f>Model!$B$12+(Model!$B$13-Model!$B$12)*RAND()</f>
        <v/>
      </c>
      <c r="D309" s="4">
        <f>MIN(B309,Model!$B$8)</f>
        <v/>
      </c>
      <c r="E309" s="6">
        <f>D309*(Model!$B$5-C309)-Model!$B$7</f>
        <v/>
      </c>
    </row>
    <row r="310">
      <c r="A310" t="n">
        <v>309</v>
      </c>
      <c r="B310" s="4">
        <f>MAX(0,_xlfn.NORM.INV(RAND(),Model!$B$4,Model!$B$11))</f>
        <v/>
      </c>
      <c r="C310" s="12">
        <f>Model!$B$12+(Model!$B$13-Model!$B$12)*RAND()</f>
        <v/>
      </c>
      <c r="D310" s="4">
        <f>MIN(B310,Model!$B$8)</f>
        <v/>
      </c>
      <c r="E310" s="6">
        <f>D310*(Model!$B$5-C310)-Model!$B$7</f>
        <v/>
      </c>
    </row>
    <row r="311">
      <c r="A311" t="n">
        <v>310</v>
      </c>
      <c r="B311" s="4">
        <f>MAX(0,_xlfn.NORM.INV(RAND(),Model!$B$4,Model!$B$11))</f>
        <v/>
      </c>
      <c r="C311" s="12">
        <f>Model!$B$12+(Model!$B$13-Model!$B$12)*RAND()</f>
        <v/>
      </c>
      <c r="D311" s="4">
        <f>MIN(B311,Model!$B$8)</f>
        <v/>
      </c>
      <c r="E311" s="6">
        <f>D311*(Model!$B$5-C311)-Model!$B$7</f>
        <v/>
      </c>
    </row>
    <row r="312">
      <c r="A312" t="n">
        <v>311</v>
      </c>
      <c r="B312" s="4">
        <f>MAX(0,_xlfn.NORM.INV(RAND(),Model!$B$4,Model!$B$11))</f>
        <v/>
      </c>
      <c r="C312" s="12">
        <f>Model!$B$12+(Model!$B$13-Model!$B$12)*RAND()</f>
        <v/>
      </c>
      <c r="D312" s="4">
        <f>MIN(B312,Model!$B$8)</f>
        <v/>
      </c>
      <c r="E312" s="6">
        <f>D312*(Model!$B$5-C312)-Model!$B$7</f>
        <v/>
      </c>
    </row>
    <row r="313">
      <c r="A313" t="n">
        <v>312</v>
      </c>
      <c r="B313" s="4">
        <f>MAX(0,_xlfn.NORM.INV(RAND(),Model!$B$4,Model!$B$11))</f>
        <v/>
      </c>
      <c r="C313" s="12">
        <f>Model!$B$12+(Model!$B$13-Model!$B$12)*RAND()</f>
        <v/>
      </c>
      <c r="D313" s="4">
        <f>MIN(B313,Model!$B$8)</f>
        <v/>
      </c>
      <c r="E313" s="6">
        <f>D313*(Model!$B$5-C313)-Model!$B$7</f>
        <v/>
      </c>
    </row>
    <row r="314">
      <c r="A314" t="n">
        <v>313</v>
      </c>
      <c r="B314" s="4">
        <f>MAX(0,_xlfn.NORM.INV(RAND(),Model!$B$4,Model!$B$11))</f>
        <v/>
      </c>
      <c r="C314" s="12">
        <f>Model!$B$12+(Model!$B$13-Model!$B$12)*RAND()</f>
        <v/>
      </c>
      <c r="D314" s="4">
        <f>MIN(B314,Model!$B$8)</f>
        <v/>
      </c>
      <c r="E314" s="6">
        <f>D314*(Model!$B$5-C314)-Model!$B$7</f>
        <v/>
      </c>
    </row>
    <row r="315">
      <c r="A315" t="n">
        <v>314</v>
      </c>
      <c r="B315" s="4">
        <f>MAX(0,_xlfn.NORM.INV(RAND(),Model!$B$4,Model!$B$11))</f>
        <v/>
      </c>
      <c r="C315" s="12">
        <f>Model!$B$12+(Model!$B$13-Model!$B$12)*RAND()</f>
        <v/>
      </c>
      <c r="D315" s="4">
        <f>MIN(B315,Model!$B$8)</f>
        <v/>
      </c>
      <c r="E315" s="6">
        <f>D315*(Model!$B$5-C315)-Model!$B$7</f>
        <v/>
      </c>
    </row>
    <row r="316">
      <c r="A316" t="n">
        <v>315</v>
      </c>
      <c r="B316" s="4">
        <f>MAX(0,_xlfn.NORM.INV(RAND(),Model!$B$4,Model!$B$11))</f>
        <v/>
      </c>
      <c r="C316" s="12">
        <f>Model!$B$12+(Model!$B$13-Model!$B$12)*RAND()</f>
        <v/>
      </c>
      <c r="D316" s="4">
        <f>MIN(B316,Model!$B$8)</f>
        <v/>
      </c>
      <c r="E316" s="6">
        <f>D316*(Model!$B$5-C316)-Model!$B$7</f>
        <v/>
      </c>
    </row>
    <row r="317">
      <c r="A317" t="n">
        <v>316</v>
      </c>
      <c r="B317" s="4">
        <f>MAX(0,_xlfn.NORM.INV(RAND(),Model!$B$4,Model!$B$11))</f>
        <v/>
      </c>
      <c r="C317" s="12">
        <f>Model!$B$12+(Model!$B$13-Model!$B$12)*RAND()</f>
        <v/>
      </c>
      <c r="D317" s="4">
        <f>MIN(B317,Model!$B$8)</f>
        <v/>
      </c>
      <c r="E317" s="6">
        <f>D317*(Model!$B$5-C317)-Model!$B$7</f>
        <v/>
      </c>
    </row>
    <row r="318">
      <c r="A318" t="n">
        <v>317</v>
      </c>
      <c r="B318" s="4">
        <f>MAX(0,_xlfn.NORM.INV(RAND(),Model!$B$4,Model!$B$11))</f>
        <v/>
      </c>
      <c r="C318" s="12">
        <f>Model!$B$12+(Model!$B$13-Model!$B$12)*RAND()</f>
        <v/>
      </c>
      <c r="D318" s="4">
        <f>MIN(B318,Model!$B$8)</f>
        <v/>
      </c>
      <c r="E318" s="6">
        <f>D318*(Model!$B$5-C318)-Model!$B$7</f>
        <v/>
      </c>
    </row>
    <row r="319">
      <c r="A319" t="n">
        <v>318</v>
      </c>
      <c r="B319" s="4">
        <f>MAX(0,_xlfn.NORM.INV(RAND(),Model!$B$4,Model!$B$11))</f>
        <v/>
      </c>
      <c r="C319" s="12">
        <f>Model!$B$12+(Model!$B$13-Model!$B$12)*RAND()</f>
        <v/>
      </c>
      <c r="D319" s="4">
        <f>MIN(B319,Model!$B$8)</f>
        <v/>
      </c>
      <c r="E319" s="6">
        <f>D319*(Model!$B$5-C319)-Model!$B$7</f>
        <v/>
      </c>
    </row>
    <row r="320">
      <c r="A320" t="n">
        <v>319</v>
      </c>
      <c r="B320" s="4">
        <f>MAX(0,_xlfn.NORM.INV(RAND(),Model!$B$4,Model!$B$11))</f>
        <v/>
      </c>
      <c r="C320" s="12">
        <f>Model!$B$12+(Model!$B$13-Model!$B$12)*RAND()</f>
        <v/>
      </c>
      <c r="D320" s="4">
        <f>MIN(B320,Model!$B$8)</f>
        <v/>
      </c>
      <c r="E320" s="6">
        <f>D320*(Model!$B$5-C320)-Model!$B$7</f>
        <v/>
      </c>
    </row>
    <row r="321">
      <c r="A321" t="n">
        <v>320</v>
      </c>
      <c r="B321" s="4">
        <f>MAX(0,_xlfn.NORM.INV(RAND(),Model!$B$4,Model!$B$11))</f>
        <v/>
      </c>
      <c r="C321" s="12">
        <f>Model!$B$12+(Model!$B$13-Model!$B$12)*RAND()</f>
        <v/>
      </c>
      <c r="D321" s="4">
        <f>MIN(B321,Model!$B$8)</f>
        <v/>
      </c>
      <c r="E321" s="6">
        <f>D321*(Model!$B$5-C321)-Model!$B$7</f>
        <v/>
      </c>
    </row>
    <row r="322">
      <c r="A322" t="n">
        <v>321</v>
      </c>
      <c r="B322" s="4">
        <f>MAX(0,_xlfn.NORM.INV(RAND(),Model!$B$4,Model!$B$11))</f>
        <v/>
      </c>
      <c r="C322" s="12">
        <f>Model!$B$12+(Model!$B$13-Model!$B$12)*RAND()</f>
        <v/>
      </c>
      <c r="D322" s="4">
        <f>MIN(B322,Model!$B$8)</f>
        <v/>
      </c>
      <c r="E322" s="6">
        <f>D322*(Model!$B$5-C322)-Model!$B$7</f>
        <v/>
      </c>
    </row>
    <row r="323">
      <c r="A323" t="n">
        <v>322</v>
      </c>
      <c r="B323" s="4">
        <f>MAX(0,_xlfn.NORM.INV(RAND(),Model!$B$4,Model!$B$11))</f>
        <v/>
      </c>
      <c r="C323" s="12">
        <f>Model!$B$12+(Model!$B$13-Model!$B$12)*RAND()</f>
        <v/>
      </c>
      <c r="D323" s="4">
        <f>MIN(B323,Model!$B$8)</f>
        <v/>
      </c>
      <c r="E323" s="6">
        <f>D323*(Model!$B$5-C323)-Model!$B$7</f>
        <v/>
      </c>
    </row>
    <row r="324">
      <c r="A324" t="n">
        <v>323</v>
      </c>
      <c r="B324" s="4">
        <f>MAX(0,_xlfn.NORM.INV(RAND(),Model!$B$4,Model!$B$11))</f>
        <v/>
      </c>
      <c r="C324" s="12">
        <f>Model!$B$12+(Model!$B$13-Model!$B$12)*RAND()</f>
        <v/>
      </c>
      <c r="D324" s="4">
        <f>MIN(B324,Model!$B$8)</f>
        <v/>
      </c>
      <c r="E324" s="6">
        <f>D324*(Model!$B$5-C324)-Model!$B$7</f>
        <v/>
      </c>
    </row>
    <row r="325">
      <c r="A325" t="n">
        <v>324</v>
      </c>
      <c r="B325" s="4">
        <f>MAX(0,_xlfn.NORM.INV(RAND(),Model!$B$4,Model!$B$11))</f>
        <v/>
      </c>
      <c r="C325" s="12">
        <f>Model!$B$12+(Model!$B$13-Model!$B$12)*RAND()</f>
        <v/>
      </c>
      <c r="D325" s="4">
        <f>MIN(B325,Model!$B$8)</f>
        <v/>
      </c>
      <c r="E325" s="6">
        <f>D325*(Model!$B$5-C325)-Model!$B$7</f>
        <v/>
      </c>
    </row>
    <row r="326">
      <c r="A326" t="n">
        <v>325</v>
      </c>
      <c r="B326" s="4">
        <f>MAX(0,_xlfn.NORM.INV(RAND(),Model!$B$4,Model!$B$11))</f>
        <v/>
      </c>
      <c r="C326" s="12">
        <f>Model!$B$12+(Model!$B$13-Model!$B$12)*RAND()</f>
        <v/>
      </c>
      <c r="D326" s="4">
        <f>MIN(B326,Model!$B$8)</f>
        <v/>
      </c>
      <c r="E326" s="6">
        <f>D326*(Model!$B$5-C326)-Model!$B$7</f>
        <v/>
      </c>
    </row>
    <row r="327">
      <c r="A327" t="n">
        <v>326</v>
      </c>
      <c r="B327" s="4">
        <f>MAX(0,_xlfn.NORM.INV(RAND(),Model!$B$4,Model!$B$11))</f>
        <v/>
      </c>
      <c r="C327" s="12">
        <f>Model!$B$12+(Model!$B$13-Model!$B$12)*RAND()</f>
        <v/>
      </c>
      <c r="D327" s="4">
        <f>MIN(B327,Model!$B$8)</f>
        <v/>
      </c>
      <c r="E327" s="6">
        <f>D327*(Model!$B$5-C327)-Model!$B$7</f>
        <v/>
      </c>
    </row>
    <row r="328">
      <c r="A328" t="n">
        <v>327</v>
      </c>
      <c r="B328" s="4">
        <f>MAX(0,_xlfn.NORM.INV(RAND(),Model!$B$4,Model!$B$11))</f>
        <v/>
      </c>
      <c r="C328" s="12">
        <f>Model!$B$12+(Model!$B$13-Model!$B$12)*RAND()</f>
        <v/>
      </c>
      <c r="D328" s="4">
        <f>MIN(B328,Model!$B$8)</f>
        <v/>
      </c>
      <c r="E328" s="6">
        <f>D328*(Model!$B$5-C328)-Model!$B$7</f>
        <v/>
      </c>
    </row>
    <row r="329">
      <c r="A329" t="n">
        <v>328</v>
      </c>
      <c r="B329" s="4">
        <f>MAX(0,_xlfn.NORM.INV(RAND(),Model!$B$4,Model!$B$11))</f>
        <v/>
      </c>
      <c r="C329" s="12">
        <f>Model!$B$12+(Model!$B$13-Model!$B$12)*RAND()</f>
        <v/>
      </c>
      <c r="D329" s="4">
        <f>MIN(B329,Model!$B$8)</f>
        <v/>
      </c>
      <c r="E329" s="6">
        <f>D329*(Model!$B$5-C329)-Model!$B$7</f>
        <v/>
      </c>
    </row>
    <row r="330">
      <c r="A330" t="n">
        <v>329</v>
      </c>
      <c r="B330" s="4">
        <f>MAX(0,_xlfn.NORM.INV(RAND(),Model!$B$4,Model!$B$11))</f>
        <v/>
      </c>
      <c r="C330" s="12">
        <f>Model!$B$12+(Model!$B$13-Model!$B$12)*RAND()</f>
        <v/>
      </c>
      <c r="D330" s="4">
        <f>MIN(B330,Model!$B$8)</f>
        <v/>
      </c>
      <c r="E330" s="6">
        <f>D330*(Model!$B$5-C330)-Model!$B$7</f>
        <v/>
      </c>
    </row>
    <row r="331">
      <c r="A331" t="n">
        <v>330</v>
      </c>
      <c r="B331" s="4">
        <f>MAX(0,_xlfn.NORM.INV(RAND(),Model!$B$4,Model!$B$11))</f>
        <v/>
      </c>
      <c r="C331" s="12">
        <f>Model!$B$12+(Model!$B$13-Model!$B$12)*RAND()</f>
        <v/>
      </c>
      <c r="D331" s="4">
        <f>MIN(B331,Model!$B$8)</f>
        <v/>
      </c>
      <c r="E331" s="6">
        <f>D331*(Model!$B$5-C331)-Model!$B$7</f>
        <v/>
      </c>
    </row>
    <row r="332">
      <c r="A332" t="n">
        <v>331</v>
      </c>
      <c r="B332" s="4">
        <f>MAX(0,_xlfn.NORM.INV(RAND(),Model!$B$4,Model!$B$11))</f>
        <v/>
      </c>
      <c r="C332" s="12">
        <f>Model!$B$12+(Model!$B$13-Model!$B$12)*RAND()</f>
        <v/>
      </c>
      <c r="D332" s="4">
        <f>MIN(B332,Model!$B$8)</f>
        <v/>
      </c>
      <c r="E332" s="6">
        <f>D332*(Model!$B$5-C332)-Model!$B$7</f>
        <v/>
      </c>
    </row>
    <row r="333">
      <c r="A333" t="n">
        <v>332</v>
      </c>
      <c r="B333" s="4">
        <f>MAX(0,_xlfn.NORM.INV(RAND(),Model!$B$4,Model!$B$11))</f>
        <v/>
      </c>
      <c r="C333" s="12">
        <f>Model!$B$12+(Model!$B$13-Model!$B$12)*RAND()</f>
        <v/>
      </c>
      <c r="D333" s="4">
        <f>MIN(B333,Model!$B$8)</f>
        <v/>
      </c>
      <c r="E333" s="6">
        <f>D333*(Model!$B$5-C333)-Model!$B$7</f>
        <v/>
      </c>
    </row>
    <row r="334">
      <c r="A334" t="n">
        <v>333</v>
      </c>
      <c r="B334" s="4">
        <f>MAX(0,_xlfn.NORM.INV(RAND(),Model!$B$4,Model!$B$11))</f>
        <v/>
      </c>
      <c r="C334" s="12">
        <f>Model!$B$12+(Model!$B$13-Model!$B$12)*RAND()</f>
        <v/>
      </c>
      <c r="D334" s="4">
        <f>MIN(B334,Model!$B$8)</f>
        <v/>
      </c>
      <c r="E334" s="6">
        <f>D334*(Model!$B$5-C334)-Model!$B$7</f>
        <v/>
      </c>
    </row>
    <row r="335">
      <c r="A335" t="n">
        <v>334</v>
      </c>
      <c r="B335" s="4">
        <f>MAX(0,_xlfn.NORM.INV(RAND(),Model!$B$4,Model!$B$11))</f>
        <v/>
      </c>
      <c r="C335" s="12">
        <f>Model!$B$12+(Model!$B$13-Model!$B$12)*RAND()</f>
        <v/>
      </c>
      <c r="D335" s="4">
        <f>MIN(B335,Model!$B$8)</f>
        <v/>
      </c>
      <c r="E335" s="6">
        <f>D335*(Model!$B$5-C335)-Model!$B$7</f>
        <v/>
      </c>
    </row>
    <row r="336">
      <c r="A336" t="n">
        <v>335</v>
      </c>
      <c r="B336" s="4">
        <f>MAX(0,_xlfn.NORM.INV(RAND(),Model!$B$4,Model!$B$11))</f>
        <v/>
      </c>
      <c r="C336" s="12">
        <f>Model!$B$12+(Model!$B$13-Model!$B$12)*RAND()</f>
        <v/>
      </c>
      <c r="D336" s="4">
        <f>MIN(B336,Model!$B$8)</f>
        <v/>
      </c>
      <c r="E336" s="6">
        <f>D336*(Model!$B$5-C336)-Model!$B$7</f>
        <v/>
      </c>
    </row>
    <row r="337">
      <c r="A337" t="n">
        <v>336</v>
      </c>
      <c r="B337" s="4">
        <f>MAX(0,_xlfn.NORM.INV(RAND(),Model!$B$4,Model!$B$11))</f>
        <v/>
      </c>
      <c r="C337" s="12">
        <f>Model!$B$12+(Model!$B$13-Model!$B$12)*RAND()</f>
        <v/>
      </c>
      <c r="D337" s="4">
        <f>MIN(B337,Model!$B$8)</f>
        <v/>
      </c>
      <c r="E337" s="6">
        <f>D337*(Model!$B$5-C337)-Model!$B$7</f>
        <v/>
      </c>
    </row>
    <row r="338">
      <c r="A338" t="n">
        <v>337</v>
      </c>
      <c r="B338" s="4">
        <f>MAX(0,_xlfn.NORM.INV(RAND(),Model!$B$4,Model!$B$11))</f>
        <v/>
      </c>
      <c r="C338" s="12">
        <f>Model!$B$12+(Model!$B$13-Model!$B$12)*RAND()</f>
        <v/>
      </c>
      <c r="D338" s="4">
        <f>MIN(B338,Model!$B$8)</f>
        <v/>
      </c>
      <c r="E338" s="6">
        <f>D338*(Model!$B$5-C338)-Model!$B$7</f>
        <v/>
      </c>
    </row>
    <row r="339">
      <c r="A339" t="n">
        <v>338</v>
      </c>
      <c r="B339" s="4">
        <f>MAX(0,_xlfn.NORM.INV(RAND(),Model!$B$4,Model!$B$11))</f>
        <v/>
      </c>
      <c r="C339" s="12">
        <f>Model!$B$12+(Model!$B$13-Model!$B$12)*RAND()</f>
        <v/>
      </c>
      <c r="D339" s="4">
        <f>MIN(B339,Model!$B$8)</f>
        <v/>
      </c>
      <c r="E339" s="6">
        <f>D339*(Model!$B$5-C339)-Model!$B$7</f>
        <v/>
      </c>
    </row>
    <row r="340">
      <c r="A340" t="n">
        <v>339</v>
      </c>
      <c r="B340" s="4">
        <f>MAX(0,_xlfn.NORM.INV(RAND(),Model!$B$4,Model!$B$11))</f>
        <v/>
      </c>
      <c r="C340" s="12">
        <f>Model!$B$12+(Model!$B$13-Model!$B$12)*RAND()</f>
        <v/>
      </c>
      <c r="D340" s="4">
        <f>MIN(B340,Model!$B$8)</f>
        <v/>
      </c>
      <c r="E340" s="6">
        <f>D340*(Model!$B$5-C340)-Model!$B$7</f>
        <v/>
      </c>
    </row>
    <row r="341">
      <c r="A341" t="n">
        <v>340</v>
      </c>
      <c r="B341" s="4">
        <f>MAX(0,_xlfn.NORM.INV(RAND(),Model!$B$4,Model!$B$11))</f>
        <v/>
      </c>
      <c r="C341" s="12">
        <f>Model!$B$12+(Model!$B$13-Model!$B$12)*RAND()</f>
        <v/>
      </c>
      <c r="D341" s="4">
        <f>MIN(B341,Model!$B$8)</f>
        <v/>
      </c>
      <c r="E341" s="6">
        <f>D341*(Model!$B$5-C341)-Model!$B$7</f>
        <v/>
      </c>
    </row>
    <row r="342">
      <c r="A342" t="n">
        <v>341</v>
      </c>
      <c r="B342" s="4">
        <f>MAX(0,_xlfn.NORM.INV(RAND(),Model!$B$4,Model!$B$11))</f>
        <v/>
      </c>
      <c r="C342" s="12">
        <f>Model!$B$12+(Model!$B$13-Model!$B$12)*RAND()</f>
        <v/>
      </c>
      <c r="D342" s="4">
        <f>MIN(B342,Model!$B$8)</f>
        <v/>
      </c>
      <c r="E342" s="6">
        <f>D342*(Model!$B$5-C342)-Model!$B$7</f>
        <v/>
      </c>
    </row>
    <row r="343">
      <c r="A343" t="n">
        <v>342</v>
      </c>
      <c r="B343" s="4">
        <f>MAX(0,_xlfn.NORM.INV(RAND(),Model!$B$4,Model!$B$11))</f>
        <v/>
      </c>
      <c r="C343" s="12">
        <f>Model!$B$12+(Model!$B$13-Model!$B$12)*RAND()</f>
        <v/>
      </c>
      <c r="D343" s="4">
        <f>MIN(B343,Model!$B$8)</f>
        <v/>
      </c>
      <c r="E343" s="6">
        <f>D343*(Model!$B$5-C343)-Model!$B$7</f>
        <v/>
      </c>
    </row>
    <row r="344">
      <c r="A344" t="n">
        <v>343</v>
      </c>
      <c r="B344" s="4">
        <f>MAX(0,_xlfn.NORM.INV(RAND(),Model!$B$4,Model!$B$11))</f>
        <v/>
      </c>
      <c r="C344" s="12">
        <f>Model!$B$12+(Model!$B$13-Model!$B$12)*RAND()</f>
        <v/>
      </c>
      <c r="D344" s="4">
        <f>MIN(B344,Model!$B$8)</f>
        <v/>
      </c>
      <c r="E344" s="6">
        <f>D344*(Model!$B$5-C344)-Model!$B$7</f>
        <v/>
      </c>
    </row>
    <row r="345">
      <c r="A345" t="n">
        <v>344</v>
      </c>
      <c r="B345" s="4">
        <f>MAX(0,_xlfn.NORM.INV(RAND(),Model!$B$4,Model!$B$11))</f>
        <v/>
      </c>
      <c r="C345" s="12">
        <f>Model!$B$12+(Model!$B$13-Model!$B$12)*RAND()</f>
        <v/>
      </c>
      <c r="D345" s="4">
        <f>MIN(B345,Model!$B$8)</f>
        <v/>
      </c>
      <c r="E345" s="6">
        <f>D345*(Model!$B$5-C345)-Model!$B$7</f>
        <v/>
      </c>
    </row>
    <row r="346">
      <c r="A346" t="n">
        <v>345</v>
      </c>
      <c r="B346" s="4">
        <f>MAX(0,_xlfn.NORM.INV(RAND(),Model!$B$4,Model!$B$11))</f>
        <v/>
      </c>
      <c r="C346" s="12">
        <f>Model!$B$12+(Model!$B$13-Model!$B$12)*RAND()</f>
        <v/>
      </c>
      <c r="D346" s="4">
        <f>MIN(B346,Model!$B$8)</f>
        <v/>
      </c>
      <c r="E346" s="6">
        <f>D346*(Model!$B$5-C346)-Model!$B$7</f>
        <v/>
      </c>
    </row>
    <row r="347">
      <c r="A347" t="n">
        <v>346</v>
      </c>
      <c r="B347" s="4">
        <f>MAX(0,_xlfn.NORM.INV(RAND(),Model!$B$4,Model!$B$11))</f>
        <v/>
      </c>
      <c r="C347" s="12">
        <f>Model!$B$12+(Model!$B$13-Model!$B$12)*RAND()</f>
        <v/>
      </c>
      <c r="D347" s="4">
        <f>MIN(B347,Model!$B$8)</f>
        <v/>
      </c>
      <c r="E347" s="6">
        <f>D347*(Model!$B$5-C347)-Model!$B$7</f>
        <v/>
      </c>
    </row>
    <row r="348">
      <c r="A348" t="n">
        <v>347</v>
      </c>
      <c r="B348" s="4">
        <f>MAX(0,_xlfn.NORM.INV(RAND(),Model!$B$4,Model!$B$11))</f>
        <v/>
      </c>
      <c r="C348" s="12">
        <f>Model!$B$12+(Model!$B$13-Model!$B$12)*RAND()</f>
        <v/>
      </c>
      <c r="D348" s="4">
        <f>MIN(B348,Model!$B$8)</f>
        <v/>
      </c>
      <c r="E348" s="6">
        <f>D348*(Model!$B$5-C348)-Model!$B$7</f>
        <v/>
      </c>
    </row>
    <row r="349">
      <c r="A349" t="n">
        <v>348</v>
      </c>
      <c r="B349" s="4">
        <f>MAX(0,_xlfn.NORM.INV(RAND(),Model!$B$4,Model!$B$11))</f>
        <v/>
      </c>
      <c r="C349" s="12">
        <f>Model!$B$12+(Model!$B$13-Model!$B$12)*RAND()</f>
        <v/>
      </c>
      <c r="D349" s="4">
        <f>MIN(B349,Model!$B$8)</f>
        <v/>
      </c>
      <c r="E349" s="6">
        <f>D349*(Model!$B$5-C349)-Model!$B$7</f>
        <v/>
      </c>
    </row>
    <row r="350">
      <c r="A350" t="n">
        <v>349</v>
      </c>
      <c r="B350" s="4">
        <f>MAX(0,_xlfn.NORM.INV(RAND(),Model!$B$4,Model!$B$11))</f>
        <v/>
      </c>
      <c r="C350" s="12">
        <f>Model!$B$12+(Model!$B$13-Model!$B$12)*RAND()</f>
        <v/>
      </c>
      <c r="D350" s="4">
        <f>MIN(B350,Model!$B$8)</f>
        <v/>
      </c>
      <c r="E350" s="6">
        <f>D350*(Model!$B$5-C350)-Model!$B$7</f>
        <v/>
      </c>
    </row>
    <row r="351">
      <c r="A351" t="n">
        <v>350</v>
      </c>
      <c r="B351" s="4">
        <f>MAX(0,_xlfn.NORM.INV(RAND(),Model!$B$4,Model!$B$11))</f>
        <v/>
      </c>
      <c r="C351" s="12">
        <f>Model!$B$12+(Model!$B$13-Model!$B$12)*RAND()</f>
        <v/>
      </c>
      <c r="D351" s="4">
        <f>MIN(B351,Model!$B$8)</f>
        <v/>
      </c>
      <c r="E351" s="6">
        <f>D351*(Model!$B$5-C351)-Model!$B$7</f>
        <v/>
      </c>
    </row>
    <row r="352">
      <c r="A352" t="n">
        <v>351</v>
      </c>
      <c r="B352" s="4">
        <f>MAX(0,_xlfn.NORM.INV(RAND(),Model!$B$4,Model!$B$11))</f>
        <v/>
      </c>
      <c r="C352" s="12">
        <f>Model!$B$12+(Model!$B$13-Model!$B$12)*RAND()</f>
        <v/>
      </c>
      <c r="D352" s="4">
        <f>MIN(B352,Model!$B$8)</f>
        <v/>
      </c>
      <c r="E352" s="6">
        <f>D352*(Model!$B$5-C352)-Model!$B$7</f>
        <v/>
      </c>
    </row>
    <row r="353">
      <c r="A353" t="n">
        <v>352</v>
      </c>
      <c r="B353" s="4">
        <f>MAX(0,_xlfn.NORM.INV(RAND(),Model!$B$4,Model!$B$11))</f>
        <v/>
      </c>
      <c r="C353" s="12">
        <f>Model!$B$12+(Model!$B$13-Model!$B$12)*RAND()</f>
        <v/>
      </c>
      <c r="D353" s="4">
        <f>MIN(B353,Model!$B$8)</f>
        <v/>
      </c>
      <c r="E353" s="6">
        <f>D353*(Model!$B$5-C353)-Model!$B$7</f>
        <v/>
      </c>
    </row>
    <row r="354">
      <c r="A354" t="n">
        <v>353</v>
      </c>
      <c r="B354" s="4">
        <f>MAX(0,_xlfn.NORM.INV(RAND(),Model!$B$4,Model!$B$11))</f>
        <v/>
      </c>
      <c r="C354" s="12">
        <f>Model!$B$12+(Model!$B$13-Model!$B$12)*RAND()</f>
        <v/>
      </c>
      <c r="D354" s="4">
        <f>MIN(B354,Model!$B$8)</f>
        <v/>
      </c>
      <c r="E354" s="6">
        <f>D354*(Model!$B$5-C354)-Model!$B$7</f>
        <v/>
      </c>
    </row>
    <row r="355">
      <c r="A355" t="n">
        <v>354</v>
      </c>
      <c r="B355" s="4">
        <f>MAX(0,_xlfn.NORM.INV(RAND(),Model!$B$4,Model!$B$11))</f>
        <v/>
      </c>
      <c r="C355" s="12">
        <f>Model!$B$12+(Model!$B$13-Model!$B$12)*RAND()</f>
        <v/>
      </c>
      <c r="D355" s="4">
        <f>MIN(B355,Model!$B$8)</f>
        <v/>
      </c>
      <c r="E355" s="6">
        <f>D355*(Model!$B$5-C355)-Model!$B$7</f>
        <v/>
      </c>
    </row>
    <row r="356">
      <c r="A356" t="n">
        <v>355</v>
      </c>
      <c r="B356" s="4">
        <f>MAX(0,_xlfn.NORM.INV(RAND(),Model!$B$4,Model!$B$11))</f>
        <v/>
      </c>
      <c r="C356" s="12">
        <f>Model!$B$12+(Model!$B$13-Model!$B$12)*RAND()</f>
        <v/>
      </c>
      <c r="D356" s="4">
        <f>MIN(B356,Model!$B$8)</f>
        <v/>
      </c>
      <c r="E356" s="6">
        <f>D356*(Model!$B$5-C356)-Model!$B$7</f>
        <v/>
      </c>
    </row>
    <row r="357">
      <c r="A357" t="n">
        <v>356</v>
      </c>
      <c r="B357" s="4">
        <f>MAX(0,_xlfn.NORM.INV(RAND(),Model!$B$4,Model!$B$11))</f>
        <v/>
      </c>
      <c r="C357" s="12">
        <f>Model!$B$12+(Model!$B$13-Model!$B$12)*RAND()</f>
        <v/>
      </c>
      <c r="D357" s="4">
        <f>MIN(B357,Model!$B$8)</f>
        <v/>
      </c>
      <c r="E357" s="6">
        <f>D357*(Model!$B$5-C357)-Model!$B$7</f>
        <v/>
      </c>
    </row>
    <row r="358">
      <c r="A358" t="n">
        <v>357</v>
      </c>
      <c r="B358" s="4">
        <f>MAX(0,_xlfn.NORM.INV(RAND(),Model!$B$4,Model!$B$11))</f>
        <v/>
      </c>
      <c r="C358" s="12">
        <f>Model!$B$12+(Model!$B$13-Model!$B$12)*RAND()</f>
        <v/>
      </c>
      <c r="D358" s="4">
        <f>MIN(B358,Model!$B$8)</f>
        <v/>
      </c>
      <c r="E358" s="6">
        <f>D358*(Model!$B$5-C358)-Model!$B$7</f>
        <v/>
      </c>
    </row>
    <row r="359">
      <c r="A359" t="n">
        <v>358</v>
      </c>
      <c r="B359" s="4">
        <f>MAX(0,_xlfn.NORM.INV(RAND(),Model!$B$4,Model!$B$11))</f>
        <v/>
      </c>
      <c r="C359" s="12">
        <f>Model!$B$12+(Model!$B$13-Model!$B$12)*RAND()</f>
        <v/>
      </c>
      <c r="D359" s="4">
        <f>MIN(B359,Model!$B$8)</f>
        <v/>
      </c>
      <c r="E359" s="6">
        <f>D359*(Model!$B$5-C359)-Model!$B$7</f>
        <v/>
      </c>
    </row>
    <row r="360">
      <c r="A360" t="n">
        <v>359</v>
      </c>
      <c r="B360" s="4">
        <f>MAX(0,_xlfn.NORM.INV(RAND(),Model!$B$4,Model!$B$11))</f>
        <v/>
      </c>
      <c r="C360" s="12">
        <f>Model!$B$12+(Model!$B$13-Model!$B$12)*RAND()</f>
        <v/>
      </c>
      <c r="D360" s="4">
        <f>MIN(B360,Model!$B$8)</f>
        <v/>
      </c>
      <c r="E360" s="6">
        <f>D360*(Model!$B$5-C360)-Model!$B$7</f>
        <v/>
      </c>
    </row>
    <row r="361">
      <c r="A361" t="n">
        <v>360</v>
      </c>
      <c r="B361" s="4">
        <f>MAX(0,_xlfn.NORM.INV(RAND(),Model!$B$4,Model!$B$11))</f>
        <v/>
      </c>
      <c r="C361" s="12">
        <f>Model!$B$12+(Model!$B$13-Model!$B$12)*RAND()</f>
        <v/>
      </c>
      <c r="D361" s="4">
        <f>MIN(B361,Model!$B$8)</f>
        <v/>
      </c>
      <c r="E361" s="6">
        <f>D361*(Model!$B$5-C361)-Model!$B$7</f>
        <v/>
      </c>
    </row>
    <row r="362">
      <c r="A362" t="n">
        <v>361</v>
      </c>
      <c r="B362" s="4">
        <f>MAX(0,_xlfn.NORM.INV(RAND(),Model!$B$4,Model!$B$11))</f>
        <v/>
      </c>
      <c r="C362" s="12">
        <f>Model!$B$12+(Model!$B$13-Model!$B$12)*RAND()</f>
        <v/>
      </c>
      <c r="D362" s="4">
        <f>MIN(B362,Model!$B$8)</f>
        <v/>
      </c>
      <c r="E362" s="6">
        <f>D362*(Model!$B$5-C362)-Model!$B$7</f>
        <v/>
      </c>
    </row>
    <row r="363">
      <c r="A363" t="n">
        <v>362</v>
      </c>
      <c r="B363" s="4">
        <f>MAX(0,_xlfn.NORM.INV(RAND(),Model!$B$4,Model!$B$11))</f>
        <v/>
      </c>
      <c r="C363" s="12">
        <f>Model!$B$12+(Model!$B$13-Model!$B$12)*RAND()</f>
        <v/>
      </c>
      <c r="D363" s="4">
        <f>MIN(B363,Model!$B$8)</f>
        <v/>
      </c>
      <c r="E363" s="6">
        <f>D363*(Model!$B$5-C363)-Model!$B$7</f>
        <v/>
      </c>
    </row>
    <row r="364">
      <c r="A364" t="n">
        <v>363</v>
      </c>
      <c r="B364" s="4">
        <f>MAX(0,_xlfn.NORM.INV(RAND(),Model!$B$4,Model!$B$11))</f>
        <v/>
      </c>
      <c r="C364" s="12">
        <f>Model!$B$12+(Model!$B$13-Model!$B$12)*RAND()</f>
        <v/>
      </c>
      <c r="D364" s="4">
        <f>MIN(B364,Model!$B$8)</f>
        <v/>
      </c>
      <c r="E364" s="6">
        <f>D364*(Model!$B$5-C364)-Model!$B$7</f>
        <v/>
      </c>
    </row>
    <row r="365">
      <c r="A365" t="n">
        <v>364</v>
      </c>
      <c r="B365" s="4">
        <f>MAX(0,_xlfn.NORM.INV(RAND(),Model!$B$4,Model!$B$11))</f>
        <v/>
      </c>
      <c r="C365" s="12">
        <f>Model!$B$12+(Model!$B$13-Model!$B$12)*RAND()</f>
        <v/>
      </c>
      <c r="D365" s="4">
        <f>MIN(B365,Model!$B$8)</f>
        <v/>
      </c>
      <c r="E365" s="6">
        <f>D365*(Model!$B$5-C365)-Model!$B$7</f>
        <v/>
      </c>
    </row>
    <row r="366">
      <c r="A366" t="n">
        <v>365</v>
      </c>
      <c r="B366" s="4">
        <f>MAX(0,_xlfn.NORM.INV(RAND(),Model!$B$4,Model!$B$11))</f>
        <v/>
      </c>
      <c r="C366" s="12">
        <f>Model!$B$12+(Model!$B$13-Model!$B$12)*RAND()</f>
        <v/>
      </c>
      <c r="D366" s="4">
        <f>MIN(B366,Model!$B$8)</f>
        <v/>
      </c>
      <c r="E366" s="6">
        <f>D366*(Model!$B$5-C366)-Model!$B$7</f>
        <v/>
      </c>
    </row>
    <row r="367">
      <c r="A367" t="n">
        <v>366</v>
      </c>
      <c r="B367" s="4">
        <f>MAX(0,_xlfn.NORM.INV(RAND(),Model!$B$4,Model!$B$11))</f>
        <v/>
      </c>
      <c r="C367" s="12">
        <f>Model!$B$12+(Model!$B$13-Model!$B$12)*RAND()</f>
        <v/>
      </c>
      <c r="D367" s="4">
        <f>MIN(B367,Model!$B$8)</f>
        <v/>
      </c>
      <c r="E367" s="6">
        <f>D367*(Model!$B$5-C367)-Model!$B$7</f>
        <v/>
      </c>
    </row>
    <row r="368">
      <c r="A368" t="n">
        <v>367</v>
      </c>
      <c r="B368" s="4">
        <f>MAX(0,_xlfn.NORM.INV(RAND(),Model!$B$4,Model!$B$11))</f>
        <v/>
      </c>
      <c r="C368" s="12">
        <f>Model!$B$12+(Model!$B$13-Model!$B$12)*RAND()</f>
        <v/>
      </c>
      <c r="D368" s="4">
        <f>MIN(B368,Model!$B$8)</f>
        <v/>
      </c>
      <c r="E368" s="6">
        <f>D368*(Model!$B$5-C368)-Model!$B$7</f>
        <v/>
      </c>
    </row>
    <row r="369">
      <c r="A369" t="n">
        <v>368</v>
      </c>
      <c r="B369" s="4">
        <f>MAX(0,_xlfn.NORM.INV(RAND(),Model!$B$4,Model!$B$11))</f>
        <v/>
      </c>
      <c r="C369" s="12">
        <f>Model!$B$12+(Model!$B$13-Model!$B$12)*RAND()</f>
        <v/>
      </c>
      <c r="D369" s="4">
        <f>MIN(B369,Model!$B$8)</f>
        <v/>
      </c>
      <c r="E369" s="6">
        <f>D369*(Model!$B$5-C369)-Model!$B$7</f>
        <v/>
      </c>
    </row>
    <row r="370">
      <c r="A370" t="n">
        <v>369</v>
      </c>
      <c r="B370" s="4">
        <f>MAX(0,_xlfn.NORM.INV(RAND(),Model!$B$4,Model!$B$11))</f>
        <v/>
      </c>
      <c r="C370" s="12">
        <f>Model!$B$12+(Model!$B$13-Model!$B$12)*RAND()</f>
        <v/>
      </c>
      <c r="D370" s="4">
        <f>MIN(B370,Model!$B$8)</f>
        <v/>
      </c>
      <c r="E370" s="6">
        <f>D370*(Model!$B$5-C370)-Model!$B$7</f>
        <v/>
      </c>
    </row>
    <row r="371">
      <c r="A371" t="n">
        <v>370</v>
      </c>
      <c r="B371" s="4">
        <f>MAX(0,_xlfn.NORM.INV(RAND(),Model!$B$4,Model!$B$11))</f>
        <v/>
      </c>
      <c r="C371" s="12">
        <f>Model!$B$12+(Model!$B$13-Model!$B$12)*RAND()</f>
        <v/>
      </c>
      <c r="D371" s="4">
        <f>MIN(B371,Model!$B$8)</f>
        <v/>
      </c>
      <c r="E371" s="6">
        <f>D371*(Model!$B$5-C371)-Model!$B$7</f>
        <v/>
      </c>
    </row>
    <row r="372">
      <c r="A372" t="n">
        <v>371</v>
      </c>
      <c r="B372" s="4">
        <f>MAX(0,_xlfn.NORM.INV(RAND(),Model!$B$4,Model!$B$11))</f>
        <v/>
      </c>
      <c r="C372" s="12">
        <f>Model!$B$12+(Model!$B$13-Model!$B$12)*RAND()</f>
        <v/>
      </c>
      <c r="D372" s="4">
        <f>MIN(B372,Model!$B$8)</f>
        <v/>
      </c>
      <c r="E372" s="6">
        <f>D372*(Model!$B$5-C372)-Model!$B$7</f>
        <v/>
      </c>
    </row>
    <row r="373">
      <c r="A373" t="n">
        <v>372</v>
      </c>
      <c r="B373" s="4">
        <f>MAX(0,_xlfn.NORM.INV(RAND(),Model!$B$4,Model!$B$11))</f>
        <v/>
      </c>
      <c r="C373" s="12">
        <f>Model!$B$12+(Model!$B$13-Model!$B$12)*RAND()</f>
        <v/>
      </c>
      <c r="D373" s="4">
        <f>MIN(B373,Model!$B$8)</f>
        <v/>
      </c>
      <c r="E373" s="6">
        <f>D373*(Model!$B$5-C373)-Model!$B$7</f>
        <v/>
      </c>
    </row>
    <row r="374">
      <c r="A374" t="n">
        <v>373</v>
      </c>
      <c r="B374" s="4">
        <f>MAX(0,_xlfn.NORM.INV(RAND(),Model!$B$4,Model!$B$11))</f>
        <v/>
      </c>
      <c r="C374" s="12">
        <f>Model!$B$12+(Model!$B$13-Model!$B$12)*RAND()</f>
        <v/>
      </c>
      <c r="D374" s="4">
        <f>MIN(B374,Model!$B$8)</f>
        <v/>
      </c>
      <c r="E374" s="6">
        <f>D374*(Model!$B$5-C374)-Model!$B$7</f>
        <v/>
      </c>
    </row>
    <row r="375">
      <c r="A375" t="n">
        <v>374</v>
      </c>
      <c r="B375" s="4">
        <f>MAX(0,_xlfn.NORM.INV(RAND(),Model!$B$4,Model!$B$11))</f>
        <v/>
      </c>
      <c r="C375" s="12">
        <f>Model!$B$12+(Model!$B$13-Model!$B$12)*RAND()</f>
        <v/>
      </c>
      <c r="D375" s="4">
        <f>MIN(B375,Model!$B$8)</f>
        <v/>
      </c>
      <c r="E375" s="6">
        <f>D375*(Model!$B$5-C375)-Model!$B$7</f>
        <v/>
      </c>
    </row>
    <row r="376">
      <c r="A376" t="n">
        <v>375</v>
      </c>
      <c r="B376" s="4">
        <f>MAX(0,_xlfn.NORM.INV(RAND(),Model!$B$4,Model!$B$11))</f>
        <v/>
      </c>
      <c r="C376" s="12">
        <f>Model!$B$12+(Model!$B$13-Model!$B$12)*RAND()</f>
        <v/>
      </c>
      <c r="D376" s="4">
        <f>MIN(B376,Model!$B$8)</f>
        <v/>
      </c>
      <c r="E376" s="6">
        <f>D376*(Model!$B$5-C376)-Model!$B$7</f>
        <v/>
      </c>
    </row>
    <row r="377">
      <c r="A377" t="n">
        <v>376</v>
      </c>
      <c r="B377" s="4">
        <f>MAX(0,_xlfn.NORM.INV(RAND(),Model!$B$4,Model!$B$11))</f>
        <v/>
      </c>
      <c r="C377" s="12">
        <f>Model!$B$12+(Model!$B$13-Model!$B$12)*RAND()</f>
        <v/>
      </c>
      <c r="D377" s="4">
        <f>MIN(B377,Model!$B$8)</f>
        <v/>
      </c>
      <c r="E377" s="6">
        <f>D377*(Model!$B$5-C377)-Model!$B$7</f>
        <v/>
      </c>
    </row>
    <row r="378">
      <c r="A378" t="n">
        <v>377</v>
      </c>
      <c r="B378" s="4">
        <f>MAX(0,_xlfn.NORM.INV(RAND(),Model!$B$4,Model!$B$11))</f>
        <v/>
      </c>
      <c r="C378" s="12">
        <f>Model!$B$12+(Model!$B$13-Model!$B$12)*RAND()</f>
        <v/>
      </c>
      <c r="D378" s="4">
        <f>MIN(B378,Model!$B$8)</f>
        <v/>
      </c>
      <c r="E378" s="6">
        <f>D378*(Model!$B$5-C378)-Model!$B$7</f>
        <v/>
      </c>
    </row>
    <row r="379">
      <c r="A379" t="n">
        <v>378</v>
      </c>
      <c r="B379" s="4">
        <f>MAX(0,_xlfn.NORM.INV(RAND(),Model!$B$4,Model!$B$11))</f>
        <v/>
      </c>
      <c r="C379" s="12">
        <f>Model!$B$12+(Model!$B$13-Model!$B$12)*RAND()</f>
        <v/>
      </c>
      <c r="D379" s="4">
        <f>MIN(B379,Model!$B$8)</f>
        <v/>
      </c>
      <c r="E379" s="6">
        <f>D379*(Model!$B$5-C379)-Model!$B$7</f>
        <v/>
      </c>
    </row>
    <row r="380">
      <c r="A380" t="n">
        <v>379</v>
      </c>
      <c r="B380" s="4">
        <f>MAX(0,_xlfn.NORM.INV(RAND(),Model!$B$4,Model!$B$11))</f>
        <v/>
      </c>
      <c r="C380" s="12">
        <f>Model!$B$12+(Model!$B$13-Model!$B$12)*RAND()</f>
        <v/>
      </c>
      <c r="D380" s="4">
        <f>MIN(B380,Model!$B$8)</f>
        <v/>
      </c>
      <c r="E380" s="6">
        <f>D380*(Model!$B$5-C380)-Model!$B$7</f>
        <v/>
      </c>
    </row>
    <row r="381">
      <c r="A381" t="n">
        <v>380</v>
      </c>
      <c r="B381" s="4">
        <f>MAX(0,_xlfn.NORM.INV(RAND(),Model!$B$4,Model!$B$11))</f>
        <v/>
      </c>
      <c r="C381" s="12">
        <f>Model!$B$12+(Model!$B$13-Model!$B$12)*RAND()</f>
        <v/>
      </c>
      <c r="D381" s="4">
        <f>MIN(B381,Model!$B$8)</f>
        <v/>
      </c>
      <c r="E381" s="6">
        <f>D381*(Model!$B$5-C381)-Model!$B$7</f>
        <v/>
      </c>
    </row>
    <row r="382">
      <c r="A382" t="n">
        <v>381</v>
      </c>
      <c r="B382" s="4">
        <f>MAX(0,_xlfn.NORM.INV(RAND(),Model!$B$4,Model!$B$11))</f>
        <v/>
      </c>
      <c r="C382" s="12">
        <f>Model!$B$12+(Model!$B$13-Model!$B$12)*RAND()</f>
        <v/>
      </c>
      <c r="D382" s="4">
        <f>MIN(B382,Model!$B$8)</f>
        <v/>
      </c>
      <c r="E382" s="6">
        <f>D382*(Model!$B$5-C382)-Model!$B$7</f>
        <v/>
      </c>
    </row>
    <row r="383">
      <c r="A383" t="n">
        <v>382</v>
      </c>
      <c r="B383" s="4">
        <f>MAX(0,_xlfn.NORM.INV(RAND(),Model!$B$4,Model!$B$11))</f>
        <v/>
      </c>
      <c r="C383" s="12">
        <f>Model!$B$12+(Model!$B$13-Model!$B$12)*RAND()</f>
        <v/>
      </c>
      <c r="D383" s="4">
        <f>MIN(B383,Model!$B$8)</f>
        <v/>
      </c>
      <c r="E383" s="6">
        <f>D383*(Model!$B$5-C383)-Model!$B$7</f>
        <v/>
      </c>
    </row>
    <row r="384">
      <c r="A384" t="n">
        <v>383</v>
      </c>
      <c r="B384" s="4">
        <f>MAX(0,_xlfn.NORM.INV(RAND(),Model!$B$4,Model!$B$11))</f>
        <v/>
      </c>
      <c r="C384" s="12">
        <f>Model!$B$12+(Model!$B$13-Model!$B$12)*RAND()</f>
        <v/>
      </c>
      <c r="D384" s="4">
        <f>MIN(B384,Model!$B$8)</f>
        <v/>
      </c>
      <c r="E384" s="6">
        <f>D384*(Model!$B$5-C384)-Model!$B$7</f>
        <v/>
      </c>
    </row>
    <row r="385">
      <c r="A385" t="n">
        <v>384</v>
      </c>
      <c r="B385" s="4">
        <f>MAX(0,_xlfn.NORM.INV(RAND(),Model!$B$4,Model!$B$11))</f>
        <v/>
      </c>
      <c r="C385" s="12">
        <f>Model!$B$12+(Model!$B$13-Model!$B$12)*RAND()</f>
        <v/>
      </c>
      <c r="D385" s="4">
        <f>MIN(B385,Model!$B$8)</f>
        <v/>
      </c>
      <c r="E385" s="6">
        <f>D385*(Model!$B$5-C385)-Model!$B$7</f>
        <v/>
      </c>
    </row>
    <row r="386">
      <c r="A386" t="n">
        <v>385</v>
      </c>
      <c r="B386" s="4">
        <f>MAX(0,_xlfn.NORM.INV(RAND(),Model!$B$4,Model!$B$11))</f>
        <v/>
      </c>
      <c r="C386" s="12">
        <f>Model!$B$12+(Model!$B$13-Model!$B$12)*RAND()</f>
        <v/>
      </c>
      <c r="D386" s="4">
        <f>MIN(B386,Model!$B$8)</f>
        <v/>
      </c>
      <c r="E386" s="6">
        <f>D386*(Model!$B$5-C386)-Model!$B$7</f>
        <v/>
      </c>
    </row>
    <row r="387">
      <c r="A387" t="n">
        <v>386</v>
      </c>
      <c r="B387" s="4">
        <f>MAX(0,_xlfn.NORM.INV(RAND(),Model!$B$4,Model!$B$11))</f>
        <v/>
      </c>
      <c r="C387" s="12">
        <f>Model!$B$12+(Model!$B$13-Model!$B$12)*RAND()</f>
        <v/>
      </c>
      <c r="D387" s="4">
        <f>MIN(B387,Model!$B$8)</f>
        <v/>
      </c>
      <c r="E387" s="6">
        <f>D387*(Model!$B$5-C387)-Model!$B$7</f>
        <v/>
      </c>
    </row>
    <row r="388">
      <c r="A388" t="n">
        <v>387</v>
      </c>
      <c r="B388" s="4">
        <f>MAX(0,_xlfn.NORM.INV(RAND(),Model!$B$4,Model!$B$11))</f>
        <v/>
      </c>
      <c r="C388" s="12">
        <f>Model!$B$12+(Model!$B$13-Model!$B$12)*RAND()</f>
        <v/>
      </c>
      <c r="D388" s="4">
        <f>MIN(B388,Model!$B$8)</f>
        <v/>
      </c>
      <c r="E388" s="6">
        <f>D388*(Model!$B$5-C388)-Model!$B$7</f>
        <v/>
      </c>
    </row>
    <row r="389">
      <c r="A389" t="n">
        <v>388</v>
      </c>
      <c r="B389" s="4">
        <f>MAX(0,_xlfn.NORM.INV(RAND(),Model!$B$4,Model!$B$11))</f>
        <v/>
      </c>
      <c r="C389" s="12">
        <f>Model!$B$12+(Model!$B$13-Model!$B$12)*RAND()</f>
        <v/>
      </c>
      <c r="D389" s="4">
        <f>MIN(B389,Model!$B$8)</f>
        <v/>
      </c>
      <c r="E389" s="6">
        <f>D389*(Model!$B$5-C389)-Model!$B$7</f>
        <v/>
      </c>
    </row>
    <row r="390">
      <c r="A390" t="n">
        <v>389</v>
      </c>
      <c r="B390" s="4">
        <f>MAX(0,_xlfn.NORM.INV(RAND(),Model!$B$4,Model!$B$11))</f>
        <v/>
      </c>
      <c r="C390" s="12">
        <f>Model!$B$12+(Model!$B$13-Model!$B$12)*RAND()</f>
        <v/>
      </c>
      <c r="D390" s="4">
        <f>MIN(B390,Model!$B$8)</f>
        <v/>
      </c>
      <c r="E390" s="6">
        <f>D390*(Model!$B$5-C390)-Model!$B$7</f>
        <v/>
      </c>
    </row>
    <row r="391">
      <c r="A391" t="n">
        <v>390</v>
      </c>
      <c r="B391" s="4">
        <f>MAX(0,_xlfn.NORM.INV(RAND(),Model!$B$4,Model!$B$11))</f>
        <v/>
      </c>
      <c r="C391" s="12">
        <f>Model!$B$12+(Model!$B$13-Model!$B$12)*RAND()</f>
        <v/>
      </c>
      <c r="D391" s="4">
        <f>MIN(B391,Model!$B$8)</f>
        <v/>
      </c>
      <c r="E391" s="6">
        <f>D391*(Model!$B$5-C391)-Model!$B$7</f>
        <v/>
      </c>
    </row>
    <row r="392">
      <c r="A392" t="n">
        <v>391</v>
      </c>
      <c r="B392" s="4">
        <f>MAX(0,_xlfn.NORM.INV(RAND(),Model!$B$4,Model!$B$11))</f>
        <v/>
      </c>
      <c r="C392" s="12">
        <f>Model!$B$12+(Model!$B$13-Model!$B$12)*RAND()</f>
        <v/>
      </c>
      <c r="D392" s="4">
        <f>MIN(B392,Model!$B$8)</f>
        <v/>
      </c>
      <c r="E392" s="6">
        <f>D392*(Model!$B$5-C392)-Model!$B$7</f>
        <v/>
      </c>
    </row>
    <row r="393">
      <c r="A393" t="n">
        <v>392</v>
      </c>
      <c r="B393" s="4">
        <f>MAX(0,_xlfn.NORM.INV(RAND(),Model!$B$4,Model!$B$11))</f>
        <v/>
      </c>
      <c r="C393" s="12">
        <f>Model!$B$12+(Model!$B$13-Model!$B$12)*RAND()</f>
        <v/>
      </c>
      <c r="D393" s="4">
        <f>MIN(B393,Model!$B$8)</f>
        <v/>
      </c>
      <c r="E393" s="6">
        <f>D393*(Model!$B$5-C393)-Model!$B$7</f>
        <v/>
      </c>
    </row>
    <row r="394">
      <c r="A394" t="n">
        <v>393</v>
      </c>
      <c r="B394" s="4">
        <f>MAX(0,_xlfn.NORM.INV(RAND(),Model!$B$4,Model!$B$11))</f>
        <v/>
      </c>
      <c r="C394" s="12">
        <f>Model!$B$12+(Model!$B$13-Model!$B$12)*RAND()</f>
        <v/>
      </c>
      <c r="D394" s="4">
        <f>MIN(B394,Model!$B$8)</f>
        <v/>
      </c>
      <c r="E394" s="6">
        <f>D394*(Model!$B$5-C394)-Model!$B$7</f>
        <v/>
      </c>
    </row>
    <row r="395">
      <c r="A395" t="n">
        <v>394</v>
      </c>
      <c r="B395" s="4">
        <f>MAX(0,_xlfn.NORM.INV(RAND(),Model!$B$4,Model!$B$11))</f>
        <v/>
      </c>
      <c r="C395" s="12">
        <f>Model!$B$12+(Model!$B$13-Model!$B$12)*RAND()</f>
        <v/>
      </c>
      <c r="D395" s="4">
        <f>MIN(B395,Model!$B$8)</f>
        <v/>
      </c>
      <c r="E395" s="6">
        <f>D395*(Model!$B$5-C395)-Model!$B$7</f>
        <v/>
      </c>
    </row>
    <row r="396">
      <c r="A396" t="n">
        <v>395</v>
      </c>
      <c r="B396" s="4">
        <f>MAX(0,_xlfn.NORM.INV(RAND(),Model!$B$4,Model!$B$11))</f>
        <v/>
      </c>
      <c r="C396" s="12">
        <f>Model!$B$12+(Model!$B$13-Model!$B$12)*RAND()</f>
        <v/>
      </c>
      <c r="D396" s="4">
        <f>MIN(B396,Model!$B$8)</f>
        <v/>
      </c>
      <c r="E396" s="6">
        <f>D396*(Model!$B$5-C396)-Model!$B$7</f>
        <v/>
      </c>
    </row>
    <row r="397">
      <c r="A397" t="n">
        <v>396</v>
      </c>
      <c r="B397" s="4">
        <f>MAX(0,_xlfn.NORM.INV(RAND(),Model!$B$4,Model!$B$11))</f>
        <v/>
      </c>
      <c r="C397" s="12">
        <f>Model!$B$12+(Model!$B$13-Model!$B$12)*RAND()</f>
        <v/>
      </c>
      <c r="D397" s="4">
        <f>MIN(B397,Model!$B$8)</f>
        <v/>
      </c>
      <c r="E397" s="6">
        <f>D397*(Model!$B$5-C397)-Model!$B$7</f>
        <v/>
      </c>
    </row>
    <row r="398">
      <c r="A398" t="n">
        <v>397</v>
      </c>
      <c r="B398" s="4">
        <f>MAX(0,_xlfn.NORM.INV(RAND(),Model!$B$4,Model!$B$11))</f>
        <v/>
      </c>
      <c r="C398" s="12">
        <f>Model!$B$12+(Model!$B$13-Model!$B$12)*RAND()</f>
        <v/>
      </c>
      <c r="D398" s="4">
        <f>MIN(B398,Model!$B$8)</f>
        <v/>
      </c>
      <c r="E398" s="6">
        <f>D398*(Model!$B$5-C398)-Model!$B$7</f>
        <v/>
      </c>
    </row>
    <row r="399">
      <c r="A399" t="n">
        <v>398</v>
      </c>
      <c r="B399" s="4">
        <f>MAX(0,_xlfn.NORM.INV(RAND(),Model!$B$4,Model!$B$11))</f>
        <v/>
      </c>
      <c r="C399" s="12">
        <f>Model!$B$12+(Model!$B$13-Model!$B$12)*RAND()</f>
        <v/>
      </c>
      <c r="D399" s="4">
        <f>MIN(B399,Model!$B$8)</f>
        <v/>
      </c>
      <c r="E399" s="6">
        <f>D399*(Model!$B$5-C399)-Model!$B$7</f>
        <v/>
      </c>
    </row>
    <row r="400">
      <c r="A400" t="n">
        <v>399</v>
      </c>
      <c r="B400" s="4">
        <f>MAX(0,_xlfn.NORM.INV(RAND(),Model!$B$4,Model!$B$11))</f>
        <v/>
      </c>
      <c r="C400" s="12">
        <f>Model!$B$12+(Model!$B$13-Model!$B$12)*RAND()</f>
        <v/>
      </c>
      <c r="D400" s="4">
        <f>MIN(B400,Model!$B$8)</f>
        <v/>
      </c>
      <c r="E400" s="6">
        <f>D400*(Model!$B$5-C400)-Model!$B$7</f>
        <v/>
      </c>
    </row>
    <row r="401">
      <c r="A401" t="n">
        <v>400</v>
      </c>
      <c r="B401" s="4">
        <f>MAX(0,_xlfn.NORM.INV(RAND(),Model!$B$4,Model!$B$11))</f>
        <v/>
      </c>
      <c r="C401" s="12">
        <f>Model!$B$12+(Model!$B$13-Model!$B$12)*RAND()</f>
        <v/>
      </c>
      <c r="D401" s="4">
        <f>MIN(B401,Model!$B$8)</f>
        <v/>
      </c>
      <c r="E401" s="6">
        <f>D401*(Model!$B$5-C401)-Model!$B$7</f>
        <v/>
      </c>
    </row>
    <row r="402">
      <c r="A402" t="n">
        <v>401</v>
      </c>
      <c r="B402" s="4">
        <f>MAX(0,_xlfn.NORM.INV(RAND(),Model!$B$4,Model!$B$11))</f>
        <v/>
      </c>
      <c r="C402" s="12">
        <f>Model!$B$12+(Model!$B$13-Model!$B$12)*RAND()</f>
        <v/>
      </c>
      <c r="D402" s="4">
        <f>MIN(B402,Model!$B$8)</f>
        <v/>
      </c>
      <c r="E402" s="6">
        <f>D402*(Model!$B$5-C402)-Model!$B$7</f>
        <v/>
      </c>
    </row>
    <row r="403">
      <c r="A403" t="n">
        <v>402</v>
      </c>
      <c r="B403" s="4">
        <f>MAX(0,_xlfn.NORM.INV(RAND(),Model!$B$4,Model!$B$11))</f>
        <v/>
      </c>
      <c r="C403" s="12">
        <f>Model!$B$12+(Model!$B$13-Model!$B$12)*RAND()</f>
        <v/>
      </c>
      <c r="D403" s="4">
        <f>MIN(B403,Model!$B$8)</f>
        <v/>
      </c>
      <c r="E403" s="6">
        <f>D403*(Model!$B$5-C403)-Model!$B$7</f>
        <v/>
      </c>
    </row>
    <row r="404">
      <c r="A404" t="n">
        <v>403</v>
      </c>
      <c r="B404" s="4">
        <f>MAX(0,_xlfn.NORM.INV(RAND(),Model!$B$4,Model!$B$11))</f>
        <v/>
      </c>
      <c r="C404" s="12">
        <f>Model!$B$12+(Model!$B$13-Model!$B$12)*RAND()</f>
        <v/>
      </c>
      <c r="D404" s="4">
        <f>MIN(B404,Model!$B$8)</f>
        <v/>
      </c>
      <c r="E404" s="6">
        <f>D404*(Model!$B$5-C404)-Model!$B$7</f>
        <v/>
      </c>
    </row>
    <row r="405">
      <c r="A405" t="n">
        <v>404</v>
      </c>
      <c r="B405" s="4">
        <f>MAX(0,_xlfn.NORM.INV(RAND(),Model!$B$4,Model!$B$11))</f>
        <v/>
      </c>
      <c r="C405" s="12">
        <f>Model!$B$12+(Model!$B$13-Model!$B$12)*RAND()</f>
        <v/>
      </c>
      <c r="D405" s="4">
        <f>MIN(B405,Model!$B$8)</f>
        <v/>
      </c>
      <c r="E405" s="6">
        <f>D405*(Model!$B$5-C405)-Model!$B$7</f>
        <v/>
      </c>
    </row>
    <row r="406">
      <c r="A406" t="n">
        <v>405</v>
      </c>
      <c r="B406" s="4">
        <f>MAX(0,_xlfn.NORM.INV(RAND(),Model!$B$4,Model!$B$11))</f>
        <v/>
      </c>
      <c r="C406" s="12">
        <f>Model!$B$12+(Model!$B$13-Model!$B$12)*RAND()</f>
        <v/>
      </c>
      <c r="D406" s="4">
        <f>MIN(B406,Model!$B$8)</f>
        <v/>
      </c>
      <c r="E406" s="6">
        <f>D406*(Model!$B$5-C406)-Model!$B$7</f>
        <v/>
      </c>
    </row>
    <row r="407">
      <c r="A407" t="n">
        <v>406</v>
      </c>
      <c r="B407" s="4">
        <f>MAX(0,_xlfn.NORM.INV(RAND(),Model!$B$4,Model!$B$11))</f>
        <v/>
      </c>
      <c r="C407" s="12">
        <f>Model!$B$12+(Model!$B$13-Model!$B$12)*RAND()</f>
        <v/>
      </c>
      <c r="D407" s="4">
        <f>MIN(B407,Model!$B$8)</f>
        <v/>
      </c>
      <c r="E407" s="6">
        <f>D407*(Model!$B$5-C407)-Model!$B$7</f>
        <v/>
      </c>
    </row>
    <row r="408">
      <c r="A408" t="n">
        <v>407</v>
      </c>
      <c r="B408" s="4">
        <f>MAX(0,_xlfn.NORM.INV(RAND(),Model!$B$4,Model!$B$11))</f>
        <v/>
      </c>
      <c r="C408" s="12">
        <f>Model!$B$12+(Model!$B$13-Model!$B$12)*RAND()</f>
        <v/>
      </c>
      <c r="D408" s="4">
        <f>MIN(B408,Model!$B$8)</f>
        <v/>
      </c>
      <c r="E408" s="6">
        <f>D408*(Model!$B$5-C408)-Model!$B$7</f>
        <v/>
      </c>
    </row>
    <row r="409">
      <c r="A409" t="n">
        <v>408</v>
      </c>
      <c r="B409" s="4">
        <f>MAX(0,_xlfn.NORM.INV(RAND(),Model!$B$4,Model!$B$11))</f>
        <v/>
      </c>
      <c r="C409" s="12">
        <f>Model!$B$12+(Model!$B$13-Model!$B$12)*RAND()</f>
        <v/>
      </c>
      <c r="D409" s="4">
        <f>MIN(B409,Model!$B$8)</f>
        <v/>
      </c>
      <c r="E409" s="6">
        <f>D409*(Model!$B$5-C409)-Model!$B$7</f>
        <v/>
      </c>
    </row>
    <row r="410">
      <c r="A410" t="n">
        <v>409</v>
      </c>
      <c r="B410" s="4">
        <f>MAX(0,_xlfn.NORM.INV(RAND(),Model!$B$4,Model!$B$11))</f>
        <v/>
      </c>
      <c r="C410" s="12">
        <f>Model!$B$12+(Model!$B$13-Model!$B$12)*RAND()</f>
        <v/>
      </c>
      <c r="D410" s="4">
        <f>MIN(B410,Model!$B$8)</f>
        <v/>
      </c>
      <c r="E410" s="6">
        <f>D410*(Model!$B$5-C410)-Model!$B$7</f>
        <v/>
      </c>
    </row>
    <row r="411">
      <c r="A411" t="n">
        <v>410</v>
      </c>
      <c r="B411" s="4">
        <f>MAX(0,_xlfn.NORM.INV(RAND(),Model!$B$4,Model!$B$11))</f>
        <v/>
      </c>
      <c r="C411" s="12">
        <f>Model!$B$12+(Model!$B$13-Model!$B$12)*RAND()</f>
        <v/>
      </c>
      <c r="D411" s="4">
        <f>MIN(B411,Model!$B$8)</f>
        <v/>
      </c>
      <c r="E411" s="6">
        <f>D411*(Model!$B$5-C411)-Model!$B$7</f>
        <v/>
      </c>
    </row>
    <row r="412">
      <c r="A412" t="n">
        <v>411</v>
      </c>
      <c r="B412" s="4">
        <f>MAX(0,_xlfn.NORM.INV(RAND(),Model!$B$4,Model!$B$11))</f>
        <v/>
      </c>
      <c r="C412" s="12">
        <f>Model!$B$12+(Model!$B$13-Model!$B$12)*RAND()</f>
        <v/>
      </c>
      <c r="D412" s="4">
        <f>MIN(B412,Model!$B$8)</f>
        <v/>
      </c>
      <c r="E412" s="6">
        <f>D412*(Model!$B$5-C412)-Model!$B$7</f>
        <v/>
      </c>
    </row>
    <row r="413">
      <c r="A413" t="n">
        <v>412</v>
      </c>
      <c r="B413" s="4">
        <f>MAX(0,_xlfn.NORM.INV(RAND(),Model!$B$4,Model!$B$11))</f>
        <v/>
      </c>
      <c r="C413" s="12">
        <f>Model!$B$12+(Model!$B$13-Model!$B$12)*RAND()</f>
        <v/>
      </c>
      <c r="D413" s="4">
        <f>MIN(B413,Model!$B$8)</f>
        <v/>
      </c>
      <c r="E413" s="6">
        <f>D413*(Model!$B$5-C413)-Model!$B$7</f>
        <v/>
      </c>
    </row>
    <row r="414">
      <c r="A414" t="n">
        <v>413</v>
      </c>
      <c r="B414" s="4">
        <f>MAX(0,_xlfn.NORM.INV(RAND(),Model!$B$4,Model!$B$11))</f>
        <v/>
      </c>
      <c r="C414" s="12">
        <f>Model!$B$12+(Model!$B$13-Model!$B$12)*RAND()</f>
        <v/>
      </c>
      <c r="D414" s="4">
        <f>MIN(B414,Model!$B$8)</f>
        <v/>
      </c>
      <c r="E414" s="6">
        <f>D414*(Model!$B$5-C414)-Model!$B$7</f>
        <v/>
      </c>
    </row>
    <row r="415">
      <c r="A415" t="n">
        <v>414</v>
      </c>
      <c r="B415" s="4">
        <f>MAX(0,_xlfn.NORM.INV(RAND(),Model!$B$4,Model!$B$11))</f>
        <v/>
      </c>
      <c r="C415" s="12">
        <f>Model!$B$12+(Model!$B$13-Model!$B$12)*RAND()</f>
        <v/>
      </c>
      <c r="D415" s="4">
        <f>MIN(B415,Model!$B$8)</f>
        <v/>
      </c>
      <c r="E415" s="6">
        <f>D415*(Model!$B$5-C415)-Model!$B$7</f>
        <v/>
      </c>
    </row>
    <row r="416">
      <c r="A416" t="n">
        <v>415</v>
      </c>
      <c r="B416" s="4">
        <f>MAX(0,_xlfn.NORM.INV(RAND(),Model!$B$4,Model!$B$11))</f>
        <v/>
      </c>
      <c r="C416" s="12">
        <f>Model!$B$12+(Model!$B$13-Model!$B$12)*RAND()</f>
        <v/>
      </c>
      <c r="D416" s="4">
        <f>MIN(B416,Model!$B$8)</f>
        <v/>
      </c>
      <c r="E416" s="6">
        <f>D416*(Model!$B$5-C416)-Model!$B$7</f>
        <v/>
      </c>
    </row>
    <row r="417">
      <c r="A417" t="n">
        <v>416</v>
      </c>
      <c r="B417" s="4">
        <f>MAX(0,_xlfn.NORM.INV(RAND(),Model!$B$4,Model!$B$11))</f>
        <v/>
      </c>
      <c r="C417" s="12">
        <f>Model!$B$12+(Model!$B$13-Model!$B$12)*RAND()</f>
        <v/>
      </c>
      <c r="D417" s="4">
        <f>MIN(B417,Model!$B$8)</f>
        <v/>
      </c>
      <c r="E417" s="6">
        <f>D417*(Model!$B$5-C417)-Model!$B$7</f>
        <v/>
      </c>
    </row>
    <row r="418">
      <c r="A418" t="n">
        <v>417</v>
      </c>
      <c r="B418" s="4">
        <f>MAX(0,_xlfn.NORM.INV(RAND(),Model!$B$4,Model!$B$11))</f>
        <v/>
      </c>
      <c r="C418" s="12">
        <f>Model!$B$12+(Model!$B$13-Model!$B$12)*RAND()</f>
        <v/>
      </c>
      <c r="D418" s="4">
        <f>MIN(B418,Model!$B$8)</f>
        <v/>
      </c>
      <c r="E418" s="6">
        <f>D418*(Model!$B$5-C418)-Model!$B$7</f>
        <v/>
      </c>
    </row>
    <row r="419">
      <c r="A419" t="n">
        <v>418</v>
      </c>
      <c r="B419" s="4">
        <f>MAX(0,_xlfn.NORM.INV(RAND(),Model!$B$4,Model!$B$11))</f>
        <v/>
      </c>
      <c r="C419" s="12">
        <f>Model!$B$12+(Model!$B$13-Model!$B$12)*RAND()</f>
        <v/>
      </c>
      <c r="D419" s="4">
        <f>MIN(B419,Model!$B$8)</f>
        <v/>
      </c>
      <c r="E419" s="6">
        <f>D419*(Model!$B$5-C419)-Model!$B$7</f>
        <v/>
      </c>
    </row>
    <row r="420">
      <c r="A420" t="n">
        <v>419</v>
      </c>
      <c r="B420" s="4">
        <f>MAX(0,_xlfn.NORM.INV(RAND(),Model!$B$4,Model!$B$11))</f>
        <v/>
      </c>
      <c r="C420" s="12">
        <f>Model!$B$12+(Model!$B$13-Model!$B$12)*RAND()</f>
        <v/>
      </c>
      <c r="D420" s="4">
        <f>MIN(B420,Model!$B$8)</f>
        <v/>
      </c>
      <c r="E420" s="6">
        <f>D420*(Model!$B$5-C420)-Model!$B$7</f>
        <v/>
      </c>
    </row>
    <row r="421">
      <c r="A421" t="n">
        <v>420</v>
      </c>
      <c r="B421" s="4">
        <f>MAX(0,_xlfn.NORM.INV(RAND(),Model!$B$4,Model!$B$11))</f>
        <v/>
      </c>
      <c r="C421" s="12">
        <f>Model!$B$12+(Model!$B$13-Model!$B$12)*RAND()</f>
        <v/>
      </c>
      <c r="D421" s="4">
        <f>MIN(B421,Model!$B$8)</f>
        <v/>
      </c>
      <c r="E421" s="6">
        <f>D421*(Model!$B$5-C421)-Model!$B$7</f>
        <v/>
      </c>
    </row>
    <row r="422">
      <c r="A422" t="n">
        <v>421</v>
      </c>
      <c r="B422" s="4">
        <f>MAX(0,_xlfn.NORM.INV(RAND(),Model!$B$4,Model!$B$11))</f>
        <v/>
      </c>
      <c r="C422" s="12">
        <f>Model!$B$12+(Model!$B$13-Model!$B$12)*RAND()</f>
        <v/>
      </c>
      <c r="D422" s="4">
        <f>MIN(B422,Model!$B$8)</f>
        <v/>
      </c>
      <c r="E422" s="6">
        <f>D422*(Model!$B$5-C422)-Model!$B$7</f>
        <v/>
      </c>
    </row>
    <row r="423">
      <c r="A423" t="n">
        <v>422</v>
      </c>
      <c r="B423" s="4">
        <f>MAX(0,_xlfn.NORM.INV(RAND(),Model!$B$4,Model!$B$11))</f>
        <v/>
      </c>
      <c r="C423" s="12">
        <f>Model!$B$12+(Model!$B$13-Model!$B$12)*RAND()</f>
        <v/>
      </c>
      <c r="D423" s="4">
        <f>MIN(B423,Model!$B$8)</f>
        <v/>
      </c>
      <c r="E423" s="6">
        <f>D423*(Model!$B$5-C423)-Model!$B$7</f>
        <v/>
      </c>
    </row>
    <row r="424">
      <c r="A424" t="n">
        <v>423</v>
      </c>
      <c r="B424" s="4">
        <f>MAX(0,_xlfn.NORM.INV(RAND(),Model!$B$4,Model!$B$11))</f>
        <v/>
      </c>
      <c r="C424" s="12">
        <f>Model!$B$12+(Model!$B$13-Model!$B$12)*RAND()</f>
        <v/>
      </c>
      <c r="D424" s="4">
        <f>MIN(B424,Model!$B$8)</f>
        <v/>
      </c>
      <c r="E424" s="6">
        <f>D424*(Model!$B$5-C424)-Model!$B$7</f>
        <v/>
      </c>
    </row>
    <row r="425">
      <c r="A425" t="n">
        <v>424</v>
      </c>
      <c r="B425" s="4">
        <f>MAX(0,_xlfn.NORM.INV(RAND(),Model!$B$4,Model!$B$11))</f>
        <v/>
      </c>
      <c r="C425" s="12">
        <f>Model!$B$12+(Model!$B$13-Model!$B$12)*RAND()</f>
        <v/>
      </c>
      <c r="D425" s="4">
        <f>MIN(B425,Model!$B$8)</f>
        <v/>
      </c>
      <c r="E425" s="6">
        <f>D425*(Model!$B$5-C425)-Model!$B$7</f>
        <v/>
      </c>
    </row>
    <row r="426">
      <c r="A426" t="n">
        <v>425</v>
      </c>
      <c r="B426" s="4">
        <f>MAX(0,_xlfn.NORM.INV(RAND(),Model!$B$4,Model!$B$11))</f>
        <v/>
      </c>
      <c r="C426" s="12">
        <f>Model!$B$12+(Model!$B$13-Model!$B$12)*RAND()</f>
        <v/>
      </c>
      <c r="D426" s="4">
        <f>MIN(B426,Model!$B$8)</f>
        <v/>
      </c>
      <c r="E426" s="6">
        <f>D426*(Model!$B$5-C426)-Model!$B$7</f>
        <v/>
      </c>
    </row>
    <row r="427">
      <c r="A427" t="n">
        <v>426</v>
      </c>
      <c r="B427" s="4">
        <f>MAX(0,_xlfn.NORM.INV(RAND(),Model!$B$4,Model!$B$11))</f>
        <v/>
      </c>
      <c r="C427" s="12">
        <f>Model!$B$12+(Model!$B$13-Model!$B$12)*RAND()</f>
        <v/>
      </c>
      <c r="D427" s="4">
        <f>MIN(B427,Model!$B$8)</f>
        <v/>
      </c>
      <c r="E427" s="6">
        <f>D427*(Model!$B$5-C427)-Model!$B$7</f>
        <v/>
      </c>
    </row>
    <row r="428">
      <c r="A428" t="n">
        <v>427</v>
      </c>
      <c r="B428" s="4">
        <f>MAX(0,_xlfn.NORM.INV(RAND(),Model!$B$4,Model!$B$11))</f>
        <v/>
      </c>
      <c r="C428" s="12">
        <f>Model!$B$12+(Model!$B$13-Model!$B$12)*RAND()</f>
        <v/>
      </c>
      <c r="D428" s="4">
        <f>MIN(B428,Model!$B$8)</f>
        <v/>
      </c>
      <c r="E428" s="6">
        <f>D428*(Model!$B$5-C428)-Model!$B$7</f>
        <v/>
      </c>
    </row>
    <row r="429">
      <c r="A429" t="n">
        <v>428</v>
      </c>
      <c r="B429" s="4">
        <f>MAX(0,_xlfn.NORM.INV(RAND(),Model!$B$4,Model!$B$11))</f>
        <v/>
      </c>
      <c r="C429" s="12">
        <f>Model!$B$12+(Model!$B$13-Model!$B$12)*RAND()</f>
        <v/>
      </c>
      <c r="D429" s="4">
        <f>MIN(B429,Model!$B$8)</f>
        <v/>
      </c>
      <c r="E429" s="6">
        <f>D429*(Model!$B$5-C429)-Model!$B$7</f>
        <v/>
      </c>
    </row>
    <row r="430">
      <c r="A430" t="n">
        <v>429</v>
      </c>
      <c r="B430" s="4">
        <f>MAX(0,_xlfn.NORM.INV(RAND(),Model!$B$4,Model!$B$11))</f>
        <v/>
      </c>
      <c r="C430" s="12">
        <f>Model!$B$12+(Model!$B$13-Model!$B$12)*RAND()</f>
        <v/>
      </c>
      <c r="D430" s="4">
        <f>MIN(B430,Model!$B$8)</f>
        <v/>
      </c>
      <c r="E430" s="6">
        <f>D430*(Model!$B$5-C430)-Model!$B$7</f>
        <v/>
      </c>
    </row>
    <row r="431">
      <c r="A431" t="n">
        <v>430</v>
      </c>
      <c r="B431" s="4">
        <f>MAX(0,_xlfn.NORM.INV(RAND(),Model!$B$4,Model!$B$11))</f>
        <v/>
      </c>
      <c r="C431" s="12">
        <f>Model!$B$12+(Model!$B$13-Model!$B$12)*RAND()</f>
        <v/>
      </c>
      <c r="D431" s="4">
        <f>MIN(B431,Model!$B$8)</f>
        <v/>
      </c>
      <c r="E431" s="6">
        <f>D431*(Model!$B$5-C431)-Model!$B$7</f>
        <v/>
      </c>
    </row>
    <row r="432">
      <c r="A432" t="n">
        <v>431</v>
      </c>
      <c r="B432" s="4">
        <f>MAX(0,_xlfn.NORM.INV(RAND(),Model!$B$4,Model!$B$11))</f>
        <v/>
      </c>
      <c r="C432" s="12">
        <f>Model!$B$12+(Model!$B$13-Model!$B$12)*RAND()</f>
        <v/>
      </c>
      <c r="D432" s="4">
        <f>MIN(B432,Model!$B$8)</f>
        <v/>
      </c>
      <c r="E432" s="6">
        <f>D432*(Model!$B$5-C432)-Model!$B$7</f>
        <v/>
      </c>
    </row>
    <row r="433">
      <c r="A433" t="n">
        <v>432</v>
      </c>
      <c r="B433" s="4">
        <f>MAX(0,_xlfn.NORM.INV(RAND(),Model!$B$4,Model!$B$11))</f>
        <v/>
      </c>
      <c r="C433" s="12">
        <f>Model!$B$12+(Model!$B$13-Model!$B$12)*RAND()</f>
        <v/>
      </c>
      <c r="D433" s="4">
        <f>MIN(B433,Model!$B$8)</f>
        <v/>
      </c>
      <c r="E433" s="6">
        <f>D433*(Model!$B$5-C433)-Model!$B$7</f>
        <v/>
      </c>
    </row>
    <row r="434">
      <c r="A434" t="n">
        <v>433</v>
      </c>
      <c r="B434" s="4">
        <f>MAX(0,_xlfn.NORM.INV(RAND(),Model!$B$4,Model!$B$11))</f>
        <v/>
      </c>
      <c r="C434" s="12">
        <f>Model!$B$12+(Model!$B$13-Model!$B$12)*RAND()</f>
        <v/>
      </c>
      <c r="D434" s="4">
        <f>MIN(B434,Model!$B$8)</f>
        <v/>
      </c>
      <c r="E434" s="6">
        <f>D434*(Model!$B$5-C434)-Model!$B$7</f>
        <v/>
      </c>
    </row>
    <row r="435">
      <c r="A435" t="n">
        <v>434</v>
      </c>
      <c r="B435" s="4">
        <f>MAX(0,_xlfn.NORM.INV(RAND(),Model!$B$4,Model!$B$11))</f>
        <v/>
      </c>
      <c r="C435" s="12">
        <f>Model!$B$12+(Model!$B$13-Model!$B$12)*RAND()</f>
        <v/>
      </c>
      <c r="D435" s="4">
        <f>MIN(B435,Model!$B$8)</f>
        <v/>
      </c>
      <c r="E435" s="6">
        <f>D435*(Model!$B$5-C435)-Model!$B$7</f>
        <v/>
      </c>
    </row>
    <row r="436">
      <c r="A436" t="n">
        <v>435</v>
      </c>
      <c r="B436" s="4">
        <f>MAX(0,_xlfn.NORM.INV(RAND(),Model!$B$4,Model!$B$11))</f>
        <v/>
      </c>
      <c r="C436" s="12">
        <f>Model!$B$12+(Model!$B$13-Model!$B$12)*RAND()</f>
        <v/>
      </c>
      <c r="D436" s="4">
        <f>MIN(B436,Model!$B$8)</f>
        <v/>
      </c>
      <c r="E436" s="6">
        <f>D436*(Model!$B$5-C436)-Model!$B$7</f>
        <v/>
      </c>
    </row>
    <row r="437">
      <c r="A437" t="n">
        <v>436</v>
      </c>
      <c r="B437" s="4">
        <f>MAX(0,_xlfn.NORM.INV(RAND(),Model!$B$4,Model!$B$11))</f>
        <v/>
      </c>
      <c r="C437" s="12">
        <f>Model!$B$12+(Model!$B$13-Model!$B$12)*RAND()</f>
        <v/>
      </c>
      <c r="D437" s="4">
        <f>MIN(B437,Model!$B$8)</f>
        <v/>
      </c>
      <c r="E437" s="6">
        <f>D437*(Model!$B$5-C437)-Model!$B$7</f>
        <v/>
      </c>
    </row>
    <row r="438">
      <c r="A438" t="n">
        <v>437</v>
      </c>
      <c r="B438" s="4">
        <f>MAX(0,_xlfn.NORM.INV(RAND(),Model!$B$4,Model!$B$11))</f>
        <v/>
      </c>
      <c r="C438" s="12">
        <f>Model!$B$12+(Model!$B$13-Model!$B$12)*RAND()</f>
        <v/>
      </c>
      <c r="D438" s="4">
        <f>MIN(B438,Model!$B$8)</f>
        <v/>
      </c>
      <c r="E438" s="6">
        <f>D438*(Model!$B$5-C438)-Model!$B$7</f>
        <v/>
      </c>
    </row>
    <row r="439">
      <c r="A439" t="n">
        <v>438</v>
      </c>
      <c r="B439" s="4">
        <f>MAX(0,_xlfn.NORM.INV(RAND(),Model!$B$4,Model!$B$11))</f>
        <v/>
      </c>
      <c r="C439" s="12">
        <f>Model!$B$12+(Model!$B$13-Model!$B$12)*RAND()</f>
        <v/>
      </c>
      <c r="D439" s="4">
        <f>MIN(B439,Model!$B$8)</f>
        <v/>
      </c>
      <c r="E439" s="6">
        <f>D439*(Model!$B$5-C439)-Model!$B$7</f>
        <v/>
      </c>
    </row>
    <row r="440">
      <c r="A440" t="n">
        <v>439</v>
      </c>
      <c r="B440" s="4">
        <f>MAX(0,_xlfn.NORM.INV(RAND(),Model!$B$4,Model!$B$11))</f>
        <v/>
      </c>
      <c r="C440" s="12">
        <f>Model!$B$12+(Model!$B$13-Model!$B$12)*RAND()</f>
        <v/>
      </c>
      <c r="D440" s="4">
        <f>MIN(B440,Model!$B$8)</f>
        <v/>
      </c>
      <c r="E440" s="6">
        <f>D440*(Model!$B$5-C440)-Model!$B$7</f>
        <v/>
      </c>
    </row>
    <row r="441">
      <c r="A441" t="n">
        <v>440</v>
      </c>
      <c r="B441" s="4">
        <f>MAX(0,_xlfn.NORM.INV(RAND(),Model!$B$4,Model!$B$11))</f>
        <v/>
      </c>
      <c r="C441" s="12">
        <f>Model!$B$12+(Model!$B$13-Model!$B$12)*RAND()</f>
        <v/>
      </c>
      <c r="D441" s="4">
        <f>MIN(B441,Model!$B$8)</f>
        <v/>
      </c>
      <c r="E441" s="6">
        <f>D441*(Model!$B$5-C441)-Model!$B$7</f>
        <v/>
      </c>
    </row>
    <row r="442">
      <c r="A442" t="n">
        <v>441</v>
      </c>
      <c r="B442" s="4">
        <f>MAX(0,_xlfn.NORM.INV(RAND(),Model!$B$4,Model!$B$11))</f>
        <v/>
      </c>
      <c r="C442" s="12">
        <f>Model!$B$12+(Model!$B$13-Model!$B$12)*RAND()</f>
        <v/>
      </c>
      <c r="D442" s="4">
        <f>MIN(B442,Model!$B$8)</f>
        <v/>
      </c>
      <c r="E442" s="6">
        <f>D442*(Model!$B$5-C442)-Model!$B$7</f>
        <v/>
      </c>
    </row>
    <row r="443">
      <c r="A443" t="n">
        <v>442</v>
      </c>
      <c r="B443" s="4">
        <f>MAX(0,_xlfn.NORM.INV(RAND(),Model!$B$4,Model!$B$11))</f>
        <v/>
      </c>
      <c r="C443" s="12">
        <f>Model!$B$12+(Model!$B$13-Model!$B$12)*RAND()</f>
        <v/>
      </c>
      <c r="D443" s="4">
        <f>MIN(B443,Model!$B$8)</f>
        <v/>
      </c>
      <c r="E443" s="6">
        <f>D443*(Model!$B$5-C443)-Model!$B$7</f>
        <v/>
      </c>
    </row>
    <row r="444">
      <c r="A444" t="n">
        <v>443</v>
      </c>
      <c r="B444" s="4">
        <f>MAX(0,_xlfn.NORM.INV(RAND(),Model!$B$4,Model!$B$11))</f>
        <v/>
      </c>
      <c r="C444" s="12">
        <f>Model!$B$12+(Model!$B$13-Model!$B$12)*RAND()</f>
        <v/>
      </c>
      <c r="D444" s="4">
        <f>MIN(B444,Model!$B$8)</f>
        <v/>
      </c>
      <c r="E444" s="6">
        <f>D444*(Model!$B$5-C444)-Model!$B$7</f>
        <v/>
      </c>
    </row>
    <row r="445">
      <c r="A445" t="n">
        <v>444</v>
      </c>
      <c r="B445" s="4">
        <f>MAX(0,_xlfn.NORM.INV(RAND(),Model!$B$4,Model!$B$11))</f>
        <v/>
      </c>
      <c r="C445" s="12">
        <f>Model!$B$12+(Model!$B$13-Model!$B$12)*RAND()</f>
        <v/>
      </c>
      <c r="D445" s="4">
        <f>MIN(B445,Model!$B$8)</f>
        <v/>
      </c>
      <c r="E445" s="6">
        <f>D445*(Model!$B$5-C445)-Model!$B$7</f>
        <v/>
      </c>
    </row>
    <row r="446">
      <c r="A446" t="n">
        <v>445</v>
      </c>
      <c r="B446" s="4">
        <f>MAX(0,_xlfn.NORM.INV(RAND(),Model!$B$4,Model!$B$11))</f>
        <v/>
      </c>
      <c r="C446" s="12">
        <f>Model!$B$12+(Model!$B$13-Model!$B$12)*RAND()</f>
        <v/>
      </c>
      <c r="D446" s="4">
        <f>MIN(B446,Model!$B$8)</f>
        <v/>
      </c>
      <c r="E446" s="6">
        <f>D446*(Model!$B$5-C446)-Model!$B$7</f>
        <v/>
      </c>
    </row>
    <row r="447">
      <c r="A447" t="n">
        <v>446</v>
      </c>
      <c r="B447" s="4">
        <f>MAX(0,_xlfn.NORM.INV(RAND(),Model!$B$4,Model!$B$11))</f>
        <v/>
      </c>
      <c r="C447" s="12">
        <f>Model!$B$12+(Model!$B$13-Model!$B$12)*RAND()</f>
        <v/>
      </c>
      <c r="D447" s="4">
        <f>MIN(B447,Model!$B$8)</f>
        <v/>
      </c>
      <c r="E447" s="6">
        <f>D447*(Model!$B$5-C447)-Model!$B$7</f>
        <v/>
      </c>
    </row>
    <row r="448">
      <c r="A448" t="n">
        <v>447</v>
      </c>
      <c r="B448" s="4">
        <f>MAX(0,_xlfn.NORM.INV(RAND(),Model!$B$4,Model!$B$11))</f>
        <v/>
      </c>
      <c r="C448" s="12">
        <f>Model!$B$12+(Model!$B$13-Model!$B$12)*RAND()</f>
        <v/>
      </c>
      <c r="D448" s="4">
        <f>MIN(B448,Model!$B$8)</f>
        <v/>
      </c>
      <c r="E448" s="6">
        <f>D448*(Model!$B$5-C448)-Model!$B$7</f>
        <v/>
      </c>
    </row>
    <row r="449">
      <c r="A449" t="n">
        <v>448</v>
      </c>
      <c r="B449" s="4">
        <f>MAX(0,_xlfn.NORM.INV(RAND(),Model!$B$4,Model!$B$11))</f>
        <v/>
      </c>
      <c r="C449" s="12">
        <f>Model!$B$12+(Model!$B$13-Model!$B$12)*RAND()</f>
        <v/>
      </c>
      <c r="D449" s="4">
        <f>MIN(B449,Model!$B$8)</f>
        <v/>
      </c>
      <c r="E449" s="6">
        <f>D449*(Model!$B$5-C449)-Model!$B$7</f>
        <v/>
      </c>
    </row>
    <row r="450">
      <c r="A450" t="n">
        <v>449</v>
      </c>
      <c r="B450" s="4">
        <f>MAX(0,_xlfn.NORM.INV(RAND(),Model!$B$4,Model!$B$11))</f>
        <v/>
      </c>
      <c r="C450" s="12">
        <f>Model!$B$12+(Model!$B$13-Model!$B$12)*RAND()</f>
        <v/>
      </c>
      <c r="D450" s="4">
        <f>MIN(B450,Model!$B$8)</f>
        <v/>
      </c>
      <c r="E450" s="6">
        <f>D450*(Model!$B$5-C450)-Model!$B$7</f>
        <v/>
      </c>
    </row>
    <row r="451">
      <c r="A451" t="n">
        <v>450</v>
      </c>
      <c r="B451" s="4">
        <f>MAX(0,_xlfn.NORM.INV(RAND(),Model!$B$4,Model!$B$11))</f>
        <v/>
      </c>
      <c r="C451" s="12">
        <f>Model!$B$12+(Model!$B$13-Model!$B$12)*RAND()</f>
        <v/>
      </c>
      <c r="D451" s="4">
        <f>MIN(B451,Model!$B$8)</f>
        <v/>
      </c>
      <c r="E451" s="6">
        <f>D451*(Model!$B$5-C451)-Model!$B$7</f>
        <v/>
      </c>
    </row>
    <row r="452">
      <c r="A452" t="n">
        <v>451</v>
      </c>
      <c r="B452" s="4">
        <f>MAX(0,_xlfn.NORM.INV(RAND(),Model!$B$4,Model!$B$11))</f>
        <v/>
      </c>
      <c r="C452" s="12">
        <f>Model!$B$12+(Model!$B$13-Model!$B$12)*RAND()</f>
        <v/>
      </c>
      <c r="D452" s="4">
        <f>MIN(B452,Model!$B$8)</f>
        <v/>
      </c>
      <c r="E452" s="6">
        <f>D452*(Model!$B$5-C452)-Model!$B$7</f>
        <v/>
      </c>
    </row>
    <row r="453">
      <c r="A453" t="n">
        <v>452</v>
      </c>
      <c r="B453" s="4">
        <f>MAX(0,_xlfn.NORM.INV(RAND(),Model!$B$4,Model!$B$11))</f>
        <v/>
      </c>
      <c r="C453" s="12">
        <f>Model!$B$12+(Model!$B$13-Model!$B$12)*RAND()</f>
        <v/>
      </c>
      <c r="D453" s="4">
        <f>MIN(B453,Model!$B$8)</f>
        <v/>
      </c>
      <c r="E453" s="6">
        <f>D453*(Model!$B$5-C453)-Model!$B$7</f>
        <v/>
      </c>
    </row>
    <row r="454">
      <c r="A454" t="n">
        <v>453</v>
      </c>
      <c r="B454" s="4">
        <f>MAX(0,_xlfn.NORM.INV(RAND(),Model!$B$4,Model!$B$11))</f>
        <v/>
      </c>
      <c r="C454" s="12">
        <f>Model!$B$12+(Model!$B$13-Model!$B$12)*RAND()</f>
        <v/>
      </c>
      <c r="D454" s="4">
        <f>MIN(B454,Model!$B$8)</f>
        <v/>
      </c>
      <c r="E454" s="6">
        <f>D454*(Model!$B$5-C454)-Model!$B$7</f>
        <v/>
      </c>
    </row>
    <row r="455">
      <c r="A455" t="n">
        <v>454</v>
      </c>
      <c r="B455" s="4">
        <f>MAX(0,_xlfn.NORM.INV(RAND(),Model!$B$4,Model!$B$11))</f>
        <v/>
      </c>
      <c r="C455" s="12">
        <f>Model!$B$12+(Model!$B$13-Model!$B$12)*RAND()</f>
        <v/>
      </c>
      <c r="D455" s="4">
        <f>MIN(B455,Model!$B$8)</f>
        <v/>
      </c>
      <c r="E455" s="6">
        <f>D455*(Model!$B$5-C455)-Model!$B$7</f>
        <v/>
      </c>
    </row>
    <row r="456">
      <c r="A456" t="n">
        <v>455</v>
      </c>
      <c r="B456" s="4">
        <f>MAX(0,_xlfn.NORM.INV(RAND(),Model!$B$4,Model!$B$11))</f>
        <v/>
      </c>
      <c r="C456" s="12">
        <f>Model!$B$12+(Model!$B$13-Model!$B$12)*RAND()</f>
        <v/>
      </c>
      <c r="D456" s="4">
        <f>MIN(B456,Model!$B$8)</f>
        <v/>
      </c>
      <c r="E456" s="6">
        <f>D456*(Model!$B$5-C456)-Model!$B$7</f>
        <v/>
      </c>
    </row>
    <row r="457">
      <c r="A457" t="n">
        <v>456</v>
      </c>
      <c r="B457" s="4">
        <f>MAX(0,_xlfn.NORM.INV(RAND(),Model!$B$4,Model!$B$11))</f>
        <v/>
      </c>
      <c r="C457" s="12">
        <f>Model!$B$12+(Model!$B$13-Model!$B$12)*RAND()</f>
        <v/>
      </c>
      <c r="D457" s="4">
        <f>MIN(B457,Model!$B$8)</f>
        <v/>
      </c>
      <c r="E457" s="6">
        <f>D457*(Model!$B$5-C457)-Model!$B$7</f>
        <v/>
      </c>
    </row>
    <row r="458">
      <c r="A458" t="n">
        <v>457</v>
      </c>
      <c r="B458" s="4">
        <f>MAX(0,_xlfn.NORM.INV(RAND(),Model!$B$4,Model!$B$11))</f>
        <v/>
      </c>
      <c r="C458" s="12">
        <f>Model!$B$12+(Model!$B$13-Model!$B$12)*RAND()</f>
        <v/>
      </c>
      <c r="D458" s="4">
        <f>MIN(B458,Model!$B$8)</f>
        <v/>
      </c>
      <c r="E458" s="6">
        <f>D458*(Model!$B$5-C458)-Model!$B$7</f>
        <v/>
      </c>
    </row>
    <row r="459">
      <c r="A459" t="n">
        <v>458</v>
      </c>
      <c r="B459" s="4">
        <f>MAX(0,_xlfn.NORM.INV(RAND(),Model!$B$4,Model!$B$11))</f>
        <v/>
      </c>
      <c r="C459" s="12">
        <f>Model!$B$12+(Model!$B$13-Model!$B$12)*RAND()</f>
        <v/>
      </c>
      <c r="D459" s="4">
        <f>MIN(B459,Model!$B$8)</f>
        <v/>
      </c>
      <c r="E459" s="6">
        <f>D459*(Model!$B$5-C459)-Model!$B$7</f>
        <v/>
      </c>
    </row>
    <row r="460">
      <c r="A460" t="n">
        <v>459</v>
      </c>
      <c r="B460" s="4">
        <f>MAX(0,_xlfn.NORM.INV(RAND(),Model!$B$4,Model!$B$11))</f>
        <v/>
      </c>
      <c r="C460" s="12">
        <f>Model!$B$12+(Model!$B$13-Model!$B$12)*RAND()</f>
        <v/>
      </c>
      <c r="D460" s="4">
        <f>MIN(B460,Model!$B$8)</f>
        <v/>
      </c>
      <c r="E460" s="6">
        <f>D460*(Model!$B$5-C460)-Model!$B$7</f>
        <v/>
      </c>
    </row>
    <row r="461">
      <c r="A461" t="n">
        <v>460</v>
      </c>
      <c r="B461" s="4">
        <f>MAX(0,_xlfn.NORM.INV(RAND(),Model!$B$4,Model!$B$11))</f>
        <v/>
      </c>
      <c r="C461" s="12">
        <f>Model!$B$12+(Model!$B$13-Model!$B$12)*RAND()</f>
        <v/>
      </c>
      <c r="D461" s="4">
        <f>MIN(B461,Model!$B$8)</f>
        <v/>
      </c>
      <c r="E461" s="6">
        <f>D461*(Model!$B$5-C461)-Model!$B$7</f>
        <v/>
      </c>
    </row>
    <row r="462">
      <c r="A462" t="n">
        <v>461</v>
      </c>
      <c r="B462" s="4">
        <f>MAX(0,_xlfn.NORM.INV(RAND(),Model!$B$4,Model!$B$11))</f>
        <v/>
      </c>
      <c r="C462" s="12">
        <f>Model!$B$12+(Model!$B$13-Model!$B$12)*RAND()</f>
        <v/>
      </c>
      <c r="D462" s="4">
        <f>MIN(B462,Model!$B$8)</f>
        <v/>
      </c>
      <c r="E462" s="6">
        <f>D462*(Model!$B$5-C462)-Model!$B$7</f>
        <v/>
      </c>
    </row>
    <row r="463">
      <c r="A463" t="n">
        <v>462</v>
      </c>
      <c r="B463" s="4">
        <f>MAX(0,_xlfn.NORM.INV(RAND(),Model!$B$4,Model!$B$11))</f>
        <v/>
      </c>
      <c r="C463" s="12">
        <f>Model!$B$12+(Model!$B$13-Model!$B$12)*RAND()</f>
        <v/>
      </c>
      <c r="D463" s="4">
        <f>MIN(B463,Model!$B$8)</f>
        <v/>
      </c>
      <c r="E463" s="6">
        <f>D463*(Model!$B$5-C463)-Model!$B$7</f>
        <v/>
      </c>
    </row>
    <row r="464">
      <c r="A464" t="n">
        <v>463</v>
      </c>
      <c r="B464" s="4">
        <f>MAX(0,_xlfn.NORM.INV(RAND(),Model!$B$4,Model!$B$11))</f>
        <v/>
      </c>
      <c r="C464" s="12">
        <f>Model!$B$12+(Model!$B$13-Model!$B$12)*RAND()</f>
        <v/>
      </c>
      <c r="D464" s="4">
        <f>MIN(B464,Model!$B$8)</f>
        <v/>
      </c>
      <c r="E464" s="6">
        <f>D464*(Model!$B$5-C464)-Model!$B$7</f>
        <v/>
      </c>
    </row>
    <row r="465">
      <c r="A465" t="n">
        <v>464</v>
      </c>
      <c r="B465" s="4">
        <f>MAX(0,_xlfn.NORM.INV(RAND(),Model!$B$4,Model!$B$11))</f>
        <v/>
      </c>
      <c r="C465" s="12">
        <f>Model!$B$12+(Model!$B$13-Model!$B$12)*RAND()</f>
        <v/>
      </c>
      <c r="D465" s="4">
        <f>MIN(B465,Model!$B$8)</f>
        <v/>
      </c>
      <c r="E465" s="6">
        <f>D465*(Model!$B$5-C465)-Model!$B$7</f>
        <v/>
      </c>
    </row>
    <row r="466">
      <c r="A466" t="n">
        <v>465</v>
      </c>
      <c r="B466" s="4">
        <f>MAX(0,_xlfn.NORM.INV(RAND(),Model!$B$4,Model!$B$11))</f>
        <v/>
      </c>
      <c r="C466" s="12">
        <f>Model!$B$12+(Model!$B$13-Model!$B$12)*RAND()</f>
        <v/>
      </c>
      <c r="D466" s="4">
        <f>MIN(B466,Model!$B$8)</f>
        <v/>
      </c>
      <c r="E466" s="6">
        <f>D466*(Model!$B$5-C466)-Model!$B$7</f>
        <v/>
      </c>
    </row>
    <row r="467">
      <c r="A467" t="n">
        <v>466</v>
      </c>
      <c r="B467" s="4">
        <f>MAX(0,_xlfn.NORM.INV(RAND(),Model!$B$4,Model!$B$11))</f>
        <v/>
      </c>
      <c r="C467" s="12">
        <f>Model!$B$12+(Model!$B$13-Model!$B$12)*RAND()</f>
        <v/>
      </c>
      <c r="D467" s="4">
        <f>MIN(B467,Model!$B$8)</f>
        <v/>
      </c>
      <c r="E467" s="6">
        <f>D467*(Model!$B$5-C467)-Model!$B$7</f>
        <v/>
      </c>
    </row>
    <row r="468">
      <c r="A468" t="n">
        <v>467</v>
      </c>
      <c r="B468" s="4">
        <f>MAX(0,_xlfn.NORM.INV(RAND(),Model!$B$4,Model!$B$11))</f>
        <v/>
      </c>
      <c r="C468" s="12">
        <f>Model!$B$12+(Model!$B$13-Model!$B$12)*RAND()</f>
        <v/>
      </c>
      <c r="D468" s="4">
        <f>MIN(B468,Model!$B$8)</f>
        <v/>
      </c>
      <c r="E468" s="6">
        <f>D468*(Model!$B$5-C468)-Model!$B$7</f>
        <v/>
      </c>
    </row>
    <row r="469">
      <c r="A469" t="n">
        <v>468</v>
      </c>
      <c r="B469" s="4">
        <f>MAX(0,_xlfn.NORM.INV(RAND(),Model!$B$4,Model!$B$11))</f>
        <v/>
      </c>
      <c r="C469" s="12">
        <f>Model!$B$12+(Model!$B$13-Model!$B$12)*RAND()</f>
        <v/>
      </c>
      <c r="D469" s="4">
        <f>MIN(B469,Model!$B$8)</f>
        <v/>
      </c>
      <c r="E469" s="6">
        <f>D469*(Model!$B$5-C469)-Model!$B$7</f>
        <v/>
      </c>
    </row>
    <row r="470">
      <c r="A470" t="n">
        <v>469</v>
      </c>
      <c r="B470" s="4">
        <f>MAX(0,_xlfn.NORM.INV(RAND(),Model!$B$4,Model!$B$11))</f>
        <v/>
      </c>
      <c r="C470" s="12">
        <f>Model!$B$12+(Model!$B$13-Model!$B$12)*RAND()</f>
        <v/>
      </c>
      <c r="D470" s="4">
        <f>MIN(B470,Model!$B$8)</f>
        <v/>
      </c>
      <c r="E470" s="6">
        <f>D470*(Model!$B$5-C470)-Model!$B$7</f>
        <v/>
      </c>
    </row>
    <row r="471">
      <c r="A471" t="n">
        <v>470</v>
      </c>
      <c r="B471" s="4">
        <f>MAX(0,_xlfn.NORM.INV(RAND(),Model!$B$4,Model!$B$11))</f>
        <v/>
      </c>
      <c r="C471" s="12">
        <f>Model!$B$12+(Model!$B$13-Model!$B$12)*RAND()</f>
        <v/>
      </c>
      <c r="D471" s="4">
        <f>MIN(B471,Model!$B$8)</f>
        <v/>
      </c>
      <c r="E471" s="6">
        <f>D471*(Model!$B$5-C471)-Model!$B$7</f>
        <v/>
      </c>
    </row>
    <row r="472">
      <c r="A472" t="n">
        <v>471</v>
      </c>
      <c r="B472" s="4">
        <f>MAX(0,_xlfn.NORM.INV(RAND(),Model!$B$4,Model!$B$11))</f>
        <v/>
      </c>
      <c r="C472" s="12">
        <f>Model!$B$12+(Model!$B$13-Model!$B$12)*RAND()</f>
        <v/>
      </c>
      <c r="D472" s="4">
        <f>MIN(B472,Model!$B$8)</f>
        <v/>
      </c>
      <c r="E472" s="6">
        <f>D472*(Model!$B$5-C472)-Model!$B$7</f>
        <v/>
      </c>
    </row>
    <row r="473">
      <c r="A473" t="n">
        <v>472</v>
      </c>
      <c r="B473" s="4">
        <f>MAX(0,_xlfn.NORM.INV(RAND(),Model!$B$4,Model!$B$11))</f>
        <v/>
      </c>
      <c r="C473" s="12">
        <f>Model!$B$12+(Model!$B$13-Model!$B$12)*RAND()</f>
        <v/>
      </c>
      <c r="D473" s="4">
        <f>MIN(B473,Model!$B$8)</f>
        <v/>
      </c>
      <c r="E473" s="6">
        <f>D473*(Model!$B$5-C473)-Model!$B$7</f>
        <v/>
      </c>
    </row>
    <row r="474">
      <c r="A474" t="n">
        <v>473</v>
      </c>
      <c r="B474" s="4">
        <f>MAX(0,_xlfn.NORM.INV(RAND(),Model!$B$4,Model!$B$11))</f>
        <v/>
      </c>
      <c r="C474" s="12">
        <f>Model!$B$12+(Model!$B$13-Model!$B$12)*RAND()</f>
        <v/>
      </c>
      <c r="D474" s="4">
        <f>MIN(B474,Model!$B$8)</f>
        <v/>
      </c>
      <c r="E474" s="6">
        <f>D474*(Model!$B$5-C474)-Model!$B$7</f>
        <v/>
      </c>
    </row>
    <row r="475">
      <c r="A475" t="n">
        <v>474</v>
      </c>
      <c r="B475" s="4">
        <f>MAX(0,_xlfn.NORM.INV(RAND(),Model!$B$4,Model!$B$11))</f>
        <v/>
      </c>
      <c r="C475" s="12">
        <f>Model!$B$12+(Model!$B$13-Model!$B$12)*RAND()</f>
        <v/>
      </c>
      <c r="D475" s="4">
        <f>MIN(B475,Model!$B$8)</f>
        <v/>
      </c>
      <c r="E475" s="6">
        <f>D475*(Model!$B$5-C475)-Model!$B$7</f>
        <v/>
      </c>
    </row>
    <row r="476">
      <c r="A476" t="n">
        <v>475</v>
      </c>
      <c r="B476" s="4">
        <f>MAX(0,_xlfn.NORM.INV(RAND(),Model!$B$4,Model!$B$11))</f>
        <v/>
      </c>
      <c r="C476" s="12">
        <f>Model!$B$12+(Model!$B$13-Model!$B$12)*RAND()</f>
        <v/>
      </c>
      <c r="D476" s="4">
        <f>MIN(B476,Model!$B$8)</f>
        <v/>
      </c>
      <c r="E476" s="6">
        <f>D476*(Model!$B$5-C476)-Model!$B$7</f>
        <v/>
      </c>
    </row>
    <row r="477">
      <c r="A477" t="n">
        <v>476</v>
      </c>
      <c r="B477" s="4">
        <f>MAX(0,_xlfn.NORM.INV(RAND(),Model!$B$4,Model!$B$11))</f>
        <v/>
      </c>
      <c r="C477" s="12">
        <f>Model!$B$12+(Model!$B$13-Model!$B$12)*RAND()</f>
        <v/>
      </c>
      <c r="D477" s="4">
        <f>MIN(B477,Model!$B$8)</f>
        <v/>
      </c>
      <c r="E477" s="6">
        <f>D477*(Model!$B$5-C477)-Model!$B$7</f>
        <v/>
      </c>
    </row>
    <row r="478">
      <c r="A478" t="n">
        <v>477</v>
      </c>
      <c r="B478" s="4">
        <f>MAX(0,_xlfn.NORM.INV(RAND(),Model!$B$4,Model!$B$11))</f>
        <v/>
      </c>
      <c r="C478" s="12">
        <f>Model!$B$12+(Model!$B$13-Model!$B$12)*RAND()</f>
        <v/>
      </c>
      <c r="D478" s="4">
        <f>MIN(B478,Model!$B$8)</f>
        <v/>
      </c>
      <c r="E478" s="6">
        <f>D478*(Model!$B$5-C478)-Model!$B$7</f>
        <v/>
      </c>
    </row>
    <row r="479">
      <c r="A479" t="n">
        <v>478</v>
      </c>
      <c r="B479" s="4">
        <f>MAX(0,_xlfn.NORM.INV(RAND(),Model!$B$4,Model!$B$11))</f>
        <v/>
      </c>
      <c r="C479" s="12">
        <f>Model!$B$12+(Model!$B$13-Model!$B$12)*RAND()</f>
        <v/>
      </c>
      <c r="D479" s="4">
        <f>MIN(B479,Model!$B$8)</f>
        <v/>
      </c>
      <c r="E479" s="6">
        <f>D479*(Model!$B$5-C479)-Model!$B$7</f>
        <v/>
      </c>
    </row>
    <row r="480">
      <c r="A480" t="n">
        <v>479</v>
      </c>
      <c r="B480" s="4">
        <f>MAX(0,_xlfn.NORM.INV(RAND(),Model!$B$4,Model!$B$11))</f>
        <v/>
      </c>
      <c r="C480" s="12">
        <f>Model!$B$12+(Model!$B$13-Model!$B$12)*RAND()</f>
        <v/>
      </c>
      <c r="D480" s="4">
        <f>MIN(B480,Model!$B$8)</f>
        <v/>
      </c>
      <c r="E480" s="6">
        <f>D480*(Model!$B$5-C480)-Model!$B$7</f>
        <v/>
      </c>
    </row>
    <row r="481">
      <c r="A481" t="n">
        <v>480</v>
      </c>
      <c r="B481" s="4">
        <f>MAX(0,_xlfn.NORM.INV(RAND(),Model!$B$4,Model!$B$11))</f>
        <v/>
      </c>
      <c r="C481" s="12">
        <f>Model!$B$12+(Model!$B$13-Model!$B$12)*RAND()</f>
        <v/>
      </c>
      <c r="D481" s="4">
        <f>MIN(B481,Model!$B$8)</f>
        <v/>
      </c>
      <c r="E481" s="6">
        <f>D481*(Model!$B$5-C481)-Model!$B$7</f>
        <v/>
      </c>
    </row>
    <row r="482">
      <c r="A482" t="n">
        <v>481</v>
      </c>
      <c r="B482" s="4">
        <f>MAX(0,_xlfn.NORM.INV(RAND(),Model!$B$4,Model!$B$11))</f>
        <v/>
      </c>
      <c r="C482" s="12">
        <f>Model!$B$12+(Model!$B$13-Model!$B$12)*RAND()</f>
        <v/>
      </c>
      <c r="D482" s="4">
        <f>MIN(B482,Model!$B$8)</f>
        <v/>
      </c>
      <c r="E482" s="6">
        <f>D482*(Model!$B$5-C482)-Model!$B$7</f>
        <v/>
      </c>
    </row>
    <row r="483">
      <c r="A483" t="n">
        <v>482</v>
      </c>
      <c r="B483" s="4">
        <f>MAX(0,_xlfn.NORM.INV(RAND(),Model!$B$4,Model!$B$11))</f>
        <v/>
      </c>
      <c r="C483" s="12">
        <f>Model!$B$12+(Model!$B$13-Model!$B$12)*RAND()</f>
        <v/>
      </c>
      <c r="D483" s="4">
        <f>MIN(B483,Model!$B$8)</f>
        <v/>
      </c>
      <c r="E483" s="6">
        <f>D483*(Model!$B$5-C483)-Model!$B$7</f>
        <v/>
      </c>
    </row>
    <row r="484">
      <c r="A484" t="n">
        <v>483</v>
      </c>
      <c r="B484" s="4">
        <f>MAX(0,_xlfn.NORM.INV(RAND(),Model!$B$4,Model!$B$11))</f>
        <v/>
      </c>
      <c r="C484" s="12">
        <f>Model!$B$12+(Model!$B$13-Model!$B$12)*RAND()</f>
        <v/>
      </c>
      <c r="D484" s="4">
        <f>MIN(B484,Model!$B$8)</f>
        <v/>
      </c>
      <c r="E484" s="6">
        <f>D484*(Model!$B$5-C484)-Model!$B$7</f>
        <v/>
      </c>
    </row>
    <row r="485">
      <c r="A485" t="n">
        <v>484</v>
      </c>
      <c r="B485" s="4">
        <f>MAX(0,_xlfn.NORM.INV(RAND(),Model!$B$4,Model!$B$11))</f>
        <v/>
      </c>
      <c r="C485" s="12">
        <f>Model!$B$12+(Model!$B$13-Model!$B$12)*RAND()</f>
        <v/>
      </c>
      <c r="D485" s="4">
        <f>MIN(B485,Model!$B$8)</f>
        <v/>
      </c>
      <c r="E485" s="6">
        <f>D485*(Model!$B$5-C485)-Model!$B$7</f>
        <v/>
      </c>
    </row>
    <row r="486">
      <c r="A486" t="n">
        <v>485</v>
      </c>
      <c r="B486" s="4">
        <f>MAX(0,_xlfn.NORM.INV(RAND(),Model!$B$4,Model!$B$11))</f>
        <v/>
      </c>
      <c r="C486" s="12">
        <f>Model!$B$12+(Model!$B$13-Model!$B$12)*RAND()</f>
        <v/>
      </c>
      <c r="D486" s="4">
        <f>MIN(B486,Model!$B$8)</f>
        <v/>
      </c>
      <c r="E486" s="6">
        <f>D486*(Model!$B$5-C486)-Model!$B$7</f>
        <v/>
      </c>
    </row>
    <row r="487">
      <c r="A487" t="n">
        <v>486</v>
      </c>
      <c r="B487" s="4">
        <f>MAX(0,_xlfn.NORM.INV(RAND(),Model!$B$4,Model!$B$11))</f>
        <v/>
      </c>
      <c r="C487" s="12">
        <f>Model!$B$12+(Model!$B$13-Model!$B$12)*RAND()</f>
        <v/>
      </c>
      <c r="D487" s="4">
        <f>MIN(B487,Model!$B$8)</f>
        <v/>
      </c>
      <c r="E487" s="6">
        <f>D487*(Model!$B$5-C487)-Model!$B$7</f>
        <v/>
      </c>
    </row>
    <row r="488">
      <c r="A488" t="n">
        <v>487</v>
      </c>
      <c r="B488" s="4">
        <f>MAX(0,_xlfn.NORM.INV(RAND(),Model!$B$4,Model!$B$11))</f>
        <v/>
      </c>
      <c r="C488" s="12">
        <f>Model!$B$12+(Model!$B$13-Model!$B$12)*RAND()</f>
        <v/>
      </c>
      <c r="D488" s="4">
        <f>MIN(B488,Model!$B$8)</f>
        <v/>
      </c>
      <c r="E488" s="6">
        <f>D488*(Model!$B$5-C488)-Model!$B$7</f>
        <v/>
      </c>
    </row>
    <row r="489">
      <c r="A489" t="n">
        <v>488</v>
      </c>
      <c r="B489" s="4">
        <f>MAX(0,_xlfn.NORM.INV(RAND(),Model!$B$4,Model!$B$11))</f>
        <v/>
      </c>
      <c r="C489" s="12">
        <f>Model!$B$12+(Model!$B$13-Model!$B$12)*RAND()</f>
        <v/>
      </c>
      <c r="D489" s="4">
        <f>MIN(B489,Model!$B$8)</f>
        <v/>
      </c>
      <c r="E489" s="6">
        <f>D489*(Model!$B$5-C489)-Model!$B$7</f>
        <v/>
      </c>
    </row>
    <row r="490">
      <c r="A490" t="n">
        <v>489</v>
      </c>
      <c r="B490" s="4">
        <f>MAX(0,_xlfn.NORM.INV(RAND(),Model!$B$4,Model!$B$11))</f>
        <v/>
      </c>
      <c r="C490" s="12">
        <f>Model!$B$12+(Model!$B$13-Model!$B$12)*RAND()</f>
        <v/>
      </c>
      <c r="D490" s="4">
        <f>MIN(B490,Model!$B$8)</f>
        <v/>
      </c>
      <c r="E490" s="6">
        <f>D490*(Model!$B$5-C490)-Model!$B$7</f>
        <v/>
      </c>
    </row>
    <row r="491">
      <c r="A491" t="n">
        <v>490</v>
      </c>
      <c r="B491" s="4">
        <f>MAX(0,_xlfn.NORM.INV(RAND(),Model!$B$4,Model!$B$11))</f>
        <v/>
      </c>
      <c r="C491" s="12">
        <f>Model!$B$12+(Model!$B$13-Model!$B$12)*RAND()</f>
        <v/>
      </c>
      <c r="D491" s="4">
        <f>MIN(B491,Model!$B$8)</f>
        <v/>
      </c>
      <c r="E491" s="6">
        <f>D491*(Model!$B$5-C491)-Model!$B$7</f>
        <v/>
      </c>
    </row>
    <row r="492">
      <c r="A492" t="n">
        <v>491</v>
      </c>
      <c r="B492" s="4">
        <f>MAX(0,_xlfn.NORM.INV(RAND(),Model!$B$4,Model!$B$11))</f>
        <v/>
      </c>
      <c r="C492" s="12">
        <f>Model!$B$12+(Model!$B$13-Model!$B$12)*RAND()</f>
        <v/>
      </c>
      <c r="D492" s="4">
        <f>MIN(B492,Model!$B$8)</f>
        <v/>
      </c>
      <c r="E492" s="6">
        <f>D492*(Model!$B$5-C492)-Model!$B$7</f>
        <v/>
      </c>
    </row>
    <row r="493">
      <c r="A493" t="n">
        <v>492</v>
      </c>
      <c r="B493" s="4">
        <f>MAX(0,_xlfn.NORM.INV(RAND(),Model!$B$4,Model!$B$11))</f>
        <v/>
      </c>
      <c r="C493" s="12">
        <f>Model!$B$12+(Model!$B$13-Model!$B$12)*RAND()</f>
        <v/>
      </c>
      <c r="D493" s="4">
        <f>MIN(B493,Model!$B$8)</f>
        <v/>
      </c>
      <c r="E493" s="6">
        <f>D493*(Model!$B$5-C493)-Model!$B$7</f>
        <v/>
      </c>
    </row>
    <row r="494">
      <c r="A494" t="n">
        <v>493</v>
      </c>
      <c r="B494" s="4">
        <f>MAX(0,_xlfn.NORM.INV(RAND(),Model!$B$4,Model!$B$11))</f>
        <v/>
      </c>
      <c r="C494" s="12">
        <f>Model!$B$12+(Model!$B$13-Model!$B$12)*RAND()</f>
        <v/>
      </c>
      <c r="D494" s="4">
        <f>MIN(B494,Model!$B$8)</f>
        <v/>
      </c>
      <c r="E494" s="6">
        <f>D494*(Model!$B$5-C494)-Model!$B$7</f>
        <v/>
      </c>
    </row>
    <row r="495">
      <c r="A495" t="n">
        <v>494</v>
      </c>
      <c r="B495" s="4">
        <f>MAX(0,_xlfn.NORM.INV(RAND(),Model!$B$4,Model!$B$11))</f>
        <v/>
      </c>
      <c r="C495" s="12">
        <f>Model!$B$12+(Model!$B$13-Model!$B$12)*RAND()</f>
        <v/>
      </c>
      <c r="D495" s="4">
        <f>MIN(B495,Model!$B$8)</f>
        <v/>
      </c>
      <c r="E495" s="6">
        <f>D495*(Model!$B$5-C495)-Model!$B$7</f>
        <v/>
      </c>
    </row>
    <row r="496">
      <c r="A496" t="n">
        <v>495</v>
      </c>
      <c r="B496" s="4">
        <f>MAX(0,_xlfn.NORM.INV(RAND(),Model!$B$4,Model!$B$11))</f>
        <v/>
      </c>
      <c r="C496" s="12">
        <f>Model!$B$12+(Model!$B$13-Model!$B$12)*RAND()</f>
        <v/>
      </c>
      <c r="D496" s="4">
        <f>MIN(B496,Model!$B$8)</f>
        <v/>
      </c>
      <c r="E496" s="6">
        <f>D496*(Model!$B$5-C496)-Model!$B$7</f>
        <v/>
      </c>
    </row>
    <row r="497">
      <c r="A497" t="n">
        <v>496</v>
      </c>
      <c r="B497" s="4">
        <f>MAX(0,_xlfn.NORM.INV(RAND(),Model!$B$4,Model!$B$11))</f>
        <v/>
      </c>
      <c r="C497" s="12">
        <f>Model!$B$12+(Model!$B$13-Model!$B$12)*RAND()</f>
        <v/>
      </c>
      <c r="D497" s="4">
        <f>MIN(B497,Model!$B$8)</f>
        <v/>
      </c>
      <c r="E497" s="6">
        <f>D497*(Model!$B$5-C497)-Model!$B$7</f>
        <v/>
      </c>
    </row>
    <row r="498">
      <c r="A498" t="n">
        <v>497</v>
      </c>
      <c r="B498" s="4">
        <f>MAX(0,_xlfn.NORM.INV(RAND(),Model!$B$4,Model!$B$11))</f>
        <v/>
      </c>
      <c r="C498" s="12">
        <f>Model!$B$12+(Model!$B$13-Model!$B$12)*RAND()</f>
        <v/>
      </c>
      <c r="D498" s="4">
        <f>MIN(B498,Model!$B$8)</f>
        <v/>
      </c>
      <c r="E498" s="6">
        <f>D498*(Model!$B$5-C498)-Model!$B$7</f>
        <v/>
      </c>
    </row>
    <row r="499">
      <c r="A499" t="n">
        <v>498</v>
      </c>
      <c r="B499" s="4">
        <f>MAX(0,_xlfn.NORM.INV(RAND(),Model!$B$4,Model!$B$11))</f>
        <v/>
      </c>
      <c r="C499" s="12">
        <f>Model!$B$12+(Model!$B$13-Model!$B$12)*RAND()</f>
        <v/>
      </c>
      <c r="D499" s="4">
        <f>MIN(B499,Model!$B$8)</f>
        <v/>
      </c>
      <c r="E499" s="6">
        <f>D499*(Model!$B$5-C499)-Model!$B$7</f>
        <v/>
      </c>
    </row>
    <row r="500">
      <c r="A500" t="n">
        <v>499</v>
      </c>
      <c r="B500" s="4">
        <f>MAX(0,_xlfn.NORM.INV(RAND(),Model!$B$4,Model!$B$11))</f>
        <v/>
      </c>
      <c r="C500" s="12">
        <f>Model!$B$12+(Model!$B$13-Model!$B$12)*RAND()</f>
        <v/>
      </c>
      <c r="D500" s="4">
        <f>MIN(B500,Model!$B$8)</f>
        <v/>
      </c>
      <c r="E500" s="6">
        <f>D500*(Model!$B$5-C500)-Model!$B$7</f>
        <v/>
      </c>
    </row>
    <row r="501">
      <c r="A501" t="n">
        <v>500</v>
      </c>
      <c r="B501" s="4">
        <f>MAX(0,_xlfn.NORM.INV(RAND(),Model!$B$4,Model!$B$11))</f>
        <v/>
      </c>
      <c r="C501" s="12">
        <f>Model!$B$12+(Model!$B$13-Model!$B$12)*RAND()</f>
        <v/>
      </c>
      <c r="D501" s="4">
        <f>MIN(B501,Model!$B$8)</f>
        <v/>
      </c>
      <c r="E501" s="6">
        <f>D501*(Model!$B$5-C501)-Model!$B$7</f>
        <v/>
      </c>
    </row>
    <row r="502">
      <c r="A502" t="n">
        <v>501</v>
      </c>
      <c r="B502" s="4">
        <f>MAX(0,_xlfn.NORM.INV(RAND(),Model!$B$4,Model!$B$11))</f>
        <v/>
      </c>
      <c r="C502" s="12">
        <f>Model!$B$12+(Model!$B$13-Model!$B$12)*RAND()</f>
        <v/>
      </c>
      <c r="D502" s="4">
        <f>MIN(B502,Model!$B$8)</f>
        <v/>
      </c>
      <c r="E502" s="6">
        <f>D502*(Model!$B$5-C502)-Model!$B$7</f>
        <v/>
      </c>
    </row>
    <row r="503">
      <c r="A503" t="n">
        <v>502</v>
      </c>
      <c r="B503" s="4">
        <f>MAX(0,_xlfn.NORM.INV(RAND(),Model!$B$4,Model!$B$11))</f>
        <v/>
      </c>
      <c r="C503" s="12">
        <f>Model!$B$12+(Model!$B$13-Model!$B$12)*RAND()</f>
        <v/>
      </c>
      <c r="D503" s="4">
        <f>MIN(B503,Model!$B$8)</f>
        <v/>
      </c>
      <c r="E503" s="6">
        <f>D503*(Model!$B$5-C503)-Model!$B$7</f>
        <v/>
      </c>
    </row>
    <row r="504">
      <c r="A504" t="n">
        <v>503</v>
      </c>
      <c r="B504" s="4">
        <f>MAX(0,_xlfn.NORM.INV(RAND(),Model!$B$4,Model!$B$11))</f>
        <v/>
      </c>
      <c r="C504" s="12">
        <f>Model!$B$12+(Model!$B$13-Model!$B$12)*RAND()</f>
        <v/>
      </c>
      <c r="D504" s="4">
        <f>MIN(B504,Model!$B$8)</f>
        <v/>
      </c>
      <c r="E504" s="6">
        <f>D504*(Model!$B$5-C504)-Model!$B$7</f>
        <v/>
      </c>
    </row>
    <row r="505">
      <c r="A505" t="n">
        <v>504</v>
      </c>
      <c r="B505" s="4">
        <f>MAX(0,_xlfn.NORM.INV(RAND(),Model!$B$4,Model!$B$11))</f>
        <v/>
      </c>
      <c r="C505" s="12">
        <f>Model!$B$12+(Model!$B$13-Model!$B$12)*RAND()</f>
        <v/>
      </c>
      <c r="D505" s="4">
        <f>MIN(B505,Model!$B$8)</f>
        <v/>
      </c>
      <c r="E505" s="6">
        <f>D505*(Model!$B$5-C505)-Model!$B$7</f>
        <v/>
      </c>
    </row>
    <row r="506">
      <c r="A506" t="n">
        <v>505</v>
      </c>
      <c r="B506" s="4">
        <f>MAX(0,_xlfn.NORM.INV(RAND(),Model!$B$4,Model!$B$11))</f>
        <v/>
      </c>
      <c r="C506" s="12">
        <f>Model!$B$12+(Model!$B$13-Model!$B$12)*RAND()</f>
        <v/>
      </c>
      <c r="D506" s="4">
        <f>MIN(B506,Model!$B$8)</f>
        <v/>
      </c>
      <c r="E506" s="6">
        <f>D506*(Model!$B$5-C506)-Model!$B$7</f>
        <v/>
      </c>
    </row>
    <row r="507">
      <c r="A507" t="n">
        <v>506</v>
      </c>
      <c r="B507" s="4">
        <f>MAX(0,_xlfn.NORM.INV(RAND(),Model!$B$4,Model!$B$11))</f>
        <v/>
      </c>
      <c r="C507" s="12">
        <f>Model!$B$12+(Model!$B$13-Model!$B$12)*RAND()</f>
        <v/>
      </c>
      <c r="D507" s="4">
        <f>MIN(B507,Model!$B$8)</f>
        <v/>
      </c>
      <c r="E507" s="6">
        <f>D507*(Model!$B$5-C507)-Model!$B$7</f>
        <v/>
      </c>
    </row>
    <row r="508">
      <c r="A508" t="n">
        <v>507</v>
      </c>
      <c r="B508" s="4">
        <f>MAX(0,_xlfn.NORM.INV(RAND(),Model!$B$4,Model!$B$11))</f>
        <v/>
      </c>
      <c r="C508" s="12">
        <f>Model!$B$12+(Model!$B$13-Model!$B$12)*RAND()</f>
        <v/>
      </c>
      <c r="D508" s="4">
        <f>MIN(B508,Model!$B$8)</f>
        <v/>
      </c>
      <c r="E508" s="6">
        <f>D508*(Model!$B$5-C508)-Model!$B$7</f>
        <v/>
      </c>
    </row>
    <row r="509">
      <c r="A509" t="n">
        <v>508</v>
      </c>
      <c r="B509" s="4">
        <f>MAX(0,_xlfn.NORM.INV(RAND(),Model!$B$4,Model!$B$11))</f>
        <v/>
      </c>
      <c r="C509" s="12">
        <f>Model!$B$12+(Model!$B$13-Model!$B$12)*RAND()</f>
        <v/>
      </c>
      <c r="D509" s="4">
        <f>MIN(B509,Model!$B$8)</f>
        <v/>
      </c>
      <c r="E509" s="6">
        <f>D509*(Model!$B$5-C509)-Model!$B$7</f>
        <v/>
      </c>
    </row>
    <row r="510">
      <c r="A510" t="n">
        <v>509</v>
      </c>
      <c r="B510" s="4">
        <f>MAX(0,_xlfn.NORM.INV(RAND(),Model!$B$4,Model!$B$11))</f>
        <v/>
      </c>
      <c r="C510" s="12">
        <f>Model!$B$12+(Model!$B$13-Model!$B$12)*RAND()</f>
        <v/>
      </c>
      <c r="D510" s="4">
        <f>MIN(B510,Model!$B$8)</f>
        <v/>
      </c>
      <c r="E510" s="6">
        <f>D510*(Model!$B$5-C510)-Model!$B$7</f>
        <v/>
      </c>
    </row>
    <row r="511">
      <c r="A511" t="n">
        <v>510</v>
      </c>
      <c r="B511" s="4">
        <f>MAX(0,_xlfn.NORM.INV(RAND(),Model!$B$4,Model!$B$11))</f>
        <v/>
      </c>
      <c r="C511" s="12">
        <f>Model!$B$12+(Model!$B$13-Model!$B$12)*RAND()</f>
        <v/>
      </c>
      <c r="D511" s="4">
        <f>MIN(B511,Model!$B$8)</f>
        <v/>
      </c>
      <c r="E511" s="6">
        <f>D511*(Model!$B$5-C511)-Model!$B$7</f>
        <v/>
      </c>
    </row>
    <row r="512">
      <c r="A512" t="n">
        <v>511</v>
      </c>
      <c r="B512" s="4">
        <f>MAX(0,_xlfn.NORM.INV(RAND(),Model!$B$4,Model!$B$11))</f>
        <v/>
      </c>
      <c r="C512" s="12">
        <f>Model!$B$12+(Model!$B$13-Model!$B$12)*RAND()</f>
        <v/>
      </c>
      <c r="D512" s="4">
        <f>MIN(B512,Model!$B$8)</f>
        <v/>
      </c>
      <c r="E512" s="6">
        <f>D512*(Model!$B$5-C512)-Model!$B$7</f>
        <v/>
      </c>
    </row>
    <row r="513">
      <c r="A513" t="n">
        <v>512</v>
      </c>
      <c r="B513" s="4">
        <f>MAX(0,_xlfn.NORM.INV(RAND(),Model!$B$4,Model!$B$11))</f>
        <v/>
      </c>
      <c r="C513" s="12">
        <f>Model!$B$12+(Model!$B$13-Model!$B$12)*RAND()</f>
        <v/>
      </c>
      <c r="D513" s="4">
        <f>MIN(B513,Model!$B$8)</f>
        <v/>
      </c>
      <c r="E513" s="6">
        <f>D513*(Model!$B$5-C513)-Model!$B$7</f>
        <v/>
      </c>
    </row>
    <row r="514">
      <c r="A514" t="n">
        <v>513</v>
      </c>
      <c r="B514" s="4">
        <f>MAX(0,_xlfn.NORM.INV(RAND(),Model!$B$4,Model!$B$11))</f>
        <v/>
      </c>
      <c r="C514" s="12">
        <f>Model!$B$12+(Model!$B$13-Model!$B$12)*RAND()</f>
        <v/>
      </c>
      <c r="D514" s="4">
        <f>MIN(B514,Model!$B$8)</f>
        <v/>
      </c>
      <c r="E514" s="6">
        <f>D514*(Model!$B$5-C514)-Model!$B$7</f>
        <v/>
      </c>
    </row>
    <row r="515">
      <c r="A515" t="n">
        <v>514</v>
      </c>
      <c r="B515" s="4">
        <f>MAX(0,_xlfn.NORM.INV(RAND(),Model!$B$4,Model!$B$11))</f>
        <v/>
      </c>
      <c r="C515" s="12">
        <f>Model!$B$12+(Model!$B$13-Model!$B$12)*RAND()</f>
        <v/>
      </c>
      <c r="D515" s="4">
        <f>MIN(B515,Model!$B$8)</f>
        <v/>
      </c>
      <c r="E515" s="6">
        <f>D515*(Model!$B$5-C515)-Model!$B$7</f>
        <v/>
      </c>
    </row>
    <row r="516">
      <c r="A516" t="n">
        <v>515</v>
      </c>
      <c r="B516" s="4">
        <f>MAX(0,_xlfn.NORM.INV(RAND(),Model!$B$4,Model!$B$11))</f>
        <v/>
      </c>
      <c r="C516" s="12">
        <f>Model!$B$12+(Model!$B$13-Model!$B$12)*RAND()</f>
        <v/>
      </c>
      <c r="D516" s="4">
        <f>MIN(B516,Model!$B$8)</f>
        <v/>
      </c>
      <c r="E516" s="6">
        <f>D516*(Model!$B$5-C516)-Model!$B$7</f>
        <v/>
      </c>
    </row>
    <row r="517">
      <c r="A517" t="n">
        <v>516</v>
      </c>
      <c r="B517" s="4">
        <f>MAX(0,_xlfn.NORM.INV(RAND(),Model!$B$4,Model!$B$11))</f>
        <v/>
      </c>
      <c r="C517" s="12">
        <f>Model!$B$12+(Model!$B$13-Model!$B$12)*RAND()</f>
        <v/>
      </c>
      <c r="D517" s="4">
        <f>MIN(B517,Model!$B$8)</f>
        <v/>
      </c>
      <c r="E517" s="6">
        <f>D517*(Model!$B$5-C517)-Model!$B$7</f>
        <v/>
      </c>
    </row>
    <row r="518">
      <c r="A518" t="n">
        <v>517</v>
      </c>
      <c r="B518" s="4">
        <f>MAX(0,_xlfn.NORM.INV(RAND(),Model!$B$4,Model!$B$11))</f>
        <v/>
      </c>
      <c r="C518" s="12">
        <f>Model!$B$12+(Model!$B$13-Model!$B$12)*RAND()</f>
        <v/>
      </c>
      <c r="D518" s="4">
        <f>MIN(B518,Model!$B$8)</f>
        <v/>
      </c>
      <c r="E518" s="6">
        <f>D518*(Model!$B$5-C518)-Model!$B$7</f>
        <v/>
      </c>
    </row>
    <row r="519">
      <c r="A519" t="n">
        <v>518</v>
      </c>
      <c r="B519" s="4">
        <f>MAX(0,_xlfn.NORM.INV(RAND(),Model!$B$4,Model!$B$11))</f>
        <v/>
      </c>
      <c r="C519" s="12">
        <f>Model!$B$12+(Model!$B$13-Model!$B$12)*RAND()</f>
        <v/>
      </c>
      <c r="D519" s="4">
        <f>MIN(B519,Model!$B$8)</f>
        <v/>
      </c>
      <c r="E519" s="6">
        <f>D519*(Model!$B$5-C519)-Model!$B$7</f>
        <v/>
      </c>
    </row>
    <row r="520">
      <c r="A520" t="n">
        <v>519</v>
      </c>
      <c r="B520" s="4">
        <f>MAX(0,_xlfn.NORM.INV(RAND(),Model!$B$4,Model!$B$11))</f>
        <v/>
      </c>
      <c r="C520" s="12">
        <f>Model!$B$12+(Model!$B$13-Model!$B$12)*RAND()</f>
        <v/>
      </c>
      <c r="D520" s="4">
        <f>MIN(B520,Model!$B$8)</f>
        <v/>
      </c>
      <c r="E520" s="6">
        <f>D520*(Model!$B$5-C520)-Model!$B$7</f>
        <v/>
      </c>
    </row>
    <row r="521">
      <c r="A521" t="n">
        <v>520</v>
      </c>
      <c r="B521" s="4">
        <f>MAX(0,_xlfn.NORM.INV(RAND(),Model!$B$4,Model!$B$11))</f>
        <v/>
      </c>
      <c r="C521" s="12">
        <f>Model!$B$12+(Model!$B$13-Model!$B$12)*RAND()</f>
        <v/>
      </c>
      <c r="D521" s="4">
        <f>MIN(B521,Model!$B$8)</f>
        <v/>
      </c>
      <c r="E521" s="6">
        <f>D521*(Model!$B$5-C521)-Model!$B$7</f>
        <v/>
      </c>
    </row>
    <row r="522">
      <c r="A522" t="n">
        <v>521</v>
      </c>
      <c r="B522" s="4">
        <f>MAX(0,_xlfn.NORM.INV(RAND(),Model!$B$4,Model!$B$11))</f>
        <v/>
      </c>
      <c r="C522" s="12">
        <f>Model!$B$12+(Model!$B$13-Model!$B$12)*RAND()</f>
        <v/>
      </c>
      <c r="D522" s="4">
        <f>MIN(B522,Model!$B$8)</f>
        <v/>
      </c>
      <c r="E522" s="6">
        <f>D522*(Model!$B$5-C522)-Model!$B$7</f>
        <v/>
      </c>
    </row>
    <row r="523">
      <c r="A523" t="n">
        <v>522</v>
      </c>
      <c r="B523" s="4">
        <f>MAX(0,_xlfn.NORM.INV(RAND(),Model!$B$4,Model!$B$11))</f>
        <v/>
      </c>
      <c r="C523" s="12">
        <f>Model!$B$12+(Model!$B$13-Model!$B$12)*RAND()</f>
        <v/>
      </c>
      <c r="D523" s="4">
        <f>MIN(B523,Model!$B$8)</f>
        <v/>
      </c>
      <c r="E523" s="6">
        <f>D523*(Model!$B$5-C523)-Model!$B$7</f>
        <v/>
      </c>
    </row>
    <row r="524">
      <c r="A524" t="n">
        <v>523</v>
      </c>
      <c r="B524" s="4">
        <f>MAX(0,_xlfn.NORM.INV(RAND(),Model!$B$4,Model!$B$11))</f>
        <v/>
      </c>
      <c r="C524" s="12">
        <f>Model!$B$12+(Model!$B$13-Model!$B$12)*RAND()</f>
        <v/>
      </c>
      <c r="D524" s="4">
        <f>MIN(B524,Model!$B$8)</f>
        <v/>
      </c>
      <c r="E524" s="6">
        <f>D524*(Model!$B$5-C524)-Model!$B$7</f>
        <v/>
      </c>
    </row>
    <row r="525">
      <c r="A525" t="n">
        <v>524</v>
      </c>
      <c r="B525" s="4">
        <f>MAX(0,_xlfn.NORM.INV(RAND(),Model!$B$4,Model!$B$11))</f>
        <v/>
      </c>
      <c r="C525" s="12">
        <f>Model!$B$12+(Model!$B$13-Model!$B$12)*RAND()</f>
        <v/>
      </c>
      <c r="D525" s="4">
        <f>MIN(B525,Model!$B$8)</f>
        <v/>
      </c>
      <c r="E525" s="6">
        <f>D525*(Model!$B$5-C525)-Model!$B$7</f>
        <v/>
      </c>
    </row>
    <row r="526">
      <c r="A526" t="n">
        <v>525</v>
      </c>
      <c r="B526" s="4">
        <f>MAX(0,_xlfn.NORM.INV(RAND(),Model!$B$4,Model!$B$11))</f>
        <v/>
      </c>
      <c r="C526" s="12">
        <f>Model!$B$12+(Model!$B$13-Model!$B$12)*RAND()</f>
        <v/>
      </c>
      <c r="D526" s="4">
        <f>MIN(B526,Model!$B$8)</f>
        <v/>
      </c>
      <c r="E526" s="6">
        <f>D526*(Model!$B$5-C526)-Model!$B$7</f>
        <v/>
      </c>
    </row>
    <row r="527">
      <c r="A527" t="n">
        <v>526</v>
      </c>
      <c r="B527" s="4">
        <f>MAX(0,_xlfn.NORM.INV(RAND(),Model!$B$4,Model!$B$11))</f>
        <v/>
      </c>
      <c r="C527" s="12">
        <f>Model!$B$12+(Model!$B$13-Model!$B$12)*RAND()</f>
        <v/>
      </c>
      <c r="D527" s="4">
        <f>MIN(B527,Model!$B$8)</f>
        <v/>
      </c>
      <c r="E527" s="6">
        <f>D527*(Model!$B$5-C527)-Model!$B$7</f>
        <v/>
      </c>
    </row>
    <row r="528">
      <c r="A528" t="n">
        <v>527</v>
      </c>
      <c r="B528" s="4">
        <f>MAX(0,_xlfn.NORM.INV(RAND(),Model!$B$4,Model!$B$11))</f>
        <v/>
      </c>
      <c r="C528" s="12">
        <f>Model!$B$12+(Model!$B$13-Model!$B$12)*RAND()</f>
        <v/>
      </c>
      <c r="D528" s="4">
        <f>MIN(B528,Model!$B$8)</f>
        <v/>
      </c>
      <c r="E528" s="6">
        <f>D528*(Model!$B$5-C528)-Model!$B$7</f>
        <v/>
      </c>
    </row>
    <row r="529">
      <c r="A529" t="n">
        <v>528</v>
      </c>
      <c r="B529" s="4">
        <f>MAX(0,_xlfn.NORM.INV(RAND(),Model!$B$4,Model!$B$11))</f>
        <v/>
      </c>
      <c r="C529" s="12">
        <f>Model!$B$12+(Model!$B$13-Model!$B$12)*RAND()</f>
        <v/>
      </c>
      <c r="D529" s="4">
        <f>MIN(B529,Model!$B$8)</f>
        <v/>
      </c>
      <c r="E529" s="6">
        <f>D529*(Model!$B$5-C529)-Model!$B$7</f>
        <v/>
      </c>
    </row>
    <row r="530">
      <c r="A530" t="n">
        <v>529</v>
      </c>
      <c r="B530" s="4">
        <f>MAX(0,_xlfn.NORM.INV(RAND(),Model!$B$4,Model!$B$11))</f>
        <v/>
      </c>
      <c r="C530" s="12">
        <f>Model!$B$12+(Model!$B$13-Model!$B$12)*RAND()</f>
        <v/>
      </c>
      <c r="D530" s="4">
        <f>MIN(B530,Model!$B$8)</f>
        <v/>
      </c>
      <c r="E530" s="6">
        <f>D530*(Model!$B$5-C530)-Model!$B$7</f>
        <v/>
      </c>
    </row>
    <row r="531">
      <c r="A531" t="n">
        <v>530</v>
      </c>
      <c r="B531" s="4">
        <f>MAX(0,_xlfn.NORM.INV(RAND(),Model!$B$4,Model!$B$11))</f>
        <v/>
      </c>
      <c r="C531" s="12">
        <f>Model!$B$12+(Model!$B$13-Model!$B$12)*RAND()</f>
        <v/>
      </c>
      <c r="D531" s="4">
        <f>MIN(B531,Model!$B$8)</f>
        <v/>
      </c>
      <c r="E531" s="6">
        <f>D531*(Model!$B$5-C531)-Model!$B$7</f>
        <v/>
      </c>
    </row>
    <row r="532">
      <c r="A532" t="n">
        <v>531</v>
      </c>
      <c r="B532" s="4">
        <f>MAX(0,_xlfn.NORM.INV(RAND(),Model!$B$4,Model!$B$11))</f>
        <v/>
      </c>
      <c r="C532" s="12">
        <f>Model!$B$12+(Model!$B$13-Model!$B$12)*RAND()</f>
        <v/>
      </c>
      <c r="D532" s="4">
        <f>MIN(B532,Model!$B$8)</f>
        <v/>
      </c>
      <c r="E532" s="6">
        <f>D532*(Model!$B$5-C532)-Model!$B$7</f>
        <v/>
      </c>
    </row>
    <row r="533">
      <c r="A533" t="n">
        <v>532</v>
      </c>
      <c r="B533" s="4">
        <f>MAX(0,_xlfn.NORM.INV(RAND(),Model!$B$4,Model!$B$11))</f>
        <v/>
      </c>
      <c r="C533" s="12">
        <f>Model!$B$12+(Model!$B$13-Model!$B$12)*RAND()</f>
        <v/>
      </c>
      <c r="D533" s="4">
        <f>MIN(B533,Model!$B$8)</f>
        <v/>
      </c>
      <c r="E533" s="6">
        <f>D533*(Model!$B$5-C533)-Model!$B$7</f>
        <v/>
      </c>
    </row>
    <row r="534">
      <c r="A534" t="n">
        <v>533</v>
      </c>
      <c r="B534" s="4">
        <f>MAX(0,_xlfn.NORM.INV(RAND(),Model!$B$4,Model!$B$11))</f>
        <v/>
      </c>
      <c r="C534" s="12">
        <f>Model!$B$12+(Model!$B$13-Model!$B$12)*RAND()</f>
        <v/>
      </c>
      <c r="D534" s="4">
        <f>MIN(B534,Model!$B$8)</f>
        <v/>
      </c>
      <c r="E534" s="6">
        <f>D534*(Model!$B$5-C534)-Model!$B$7</f>
        <v/>
      </c>
    </row>
    <row r="535">
      <c r="A535" t="n">
        <v>534</v>
      </c>
      <c r="B535" s="4">
        <f>MAX(0,_xlfn.NORM.INV(RAND(),Model!$B$4,Model!$B$11))</f>
        <v/>
      </c>
      <c r="C535" s="12">
        <f>Model!$B$12+(Model!$B$13-Model!$B$12)*RAND()</f>
        <v/>
      </c>
      <c r="D535" s="4">
        <f>MIN(B535,Model!$B$8)</f>
        <v/>
      </c>
      <c r="E535" s="6">
        <f>D535*(Model!$B$5-C535)-Model!$B$7</f>
        <v/>
      </c>
    </row>
    <row r="536">
      <c r="A536" t="n">
        <v>535</v>
      </c>
      <c r="B536" s="4">
        <f>MAX(0,_xlfn.NORM.INV(RAND(),Model!$B$4,Model!$B$11))</f>
        <v/>
      </c>
      <c r="C536" s="12">
        <f>Model!$B$12+(Model!$B$13-Model!$B$12)*RAND()</f>
        <v/>
      </c>
      <c r="D536" s="4">
        <f>MIN(B536,Model!$B$8)</f>
        <v/>
      </c>
      <c r="E536" s="6">
        <f>D536*(Model!$B$5-C536)-Model!$B$7</f>
        <v/>
      </c>
    </row>
    <row r="537">
      <c r="A537" t="n">
        <v>536</v>
      </c>
      <c r="B537" s="4">
        <f>MAX(0,_xlfn.NORM.INV(RAND(),Model!$B$4,Model!$B$11))</f>
        <v/>
      </c>
      <c r="C537" s="12">
        <f>Model!$B$12+(Model!$B$13-Model!$B$12)*RAND()</f>
        <v/>
      </c>
      <c r="D537" s="4">
        <f>MIN(B537,Model!$B$8)</f>
        <v/>
      </c>
      <c r="E537" s="6">
        <f>D537*(Model!$B$5-C537)-Model!$B$7</f>
        <v/>
      </c>
    </row>
    <row r="538">
      <c r="A538" t="n">
        <v>537</v>
      </c>
      <c r="B538" s="4">
        <f>MAX(0,_xlfn.NORM.INV(RAND(),Model!$B$4,Model!$B$11))</f>
        <v/>
      </c>
      <c r="C538" s="12">
        <f>Model!$B$12+(Model!$B$13-Model!$B$12)*RAND()</f>
        <v/>
      </c>
      <c r="D538" s="4">
        <f>MIN(B538,Model!$B$8)</f>
        <v/>
      </c>
      <c r="E538" s="6">
        <f>D538*(Model!$B$5-C538)-Model!$B$7</f>
        <v/>
      </c>
    </row>
    <row r="539">
      <c r="A539" t="n">
        <v>538</v>
      </c>
      <c r="B539" s="4">
        <f>MAX(0,_xlfn.NORM.INV(RAND(),Model!$B$4,Model!$B$11))</f>
        <v/>
      </c>
      <c r="C539" s="12">
        <f>Model!$B$12+(Model!$B$13-Model!$B$12)*RAND()</f>
        <v/>
      </c>
      <c r="D539" s="4">
        <f>MIN(B539,Model!$B$8)</f>
        <v/>
      </c>
      <c r="E539" s="6">
        <f>D539*(Model!$B$5-C539)-Model!$B$7</f>
        <v/>
      </c>
    </row>
    <row r="540">
      <c r="A540" t="n">
        <v>539</v>
      </c>
      <c r="B540" s="4">
        <f>MAX(0,_xlfn.NORM.INV(RAND(),Model!$B$4,Model!$B$11))</f>
        <v/>
      </c>
      <c r="C540" s="12">
        <f>Model!$B$12+(Model!$B$13-Model!$B$12)*RAND()</f>
        <v/>
      </c>
      <c r="D540" s="4">
        <f>MIN(B540,Model!$B$8)</f>
        <v/>
      </c>
      <c r="E540" s="6">
        <f>D540*(Model!$B$5-C540)-Model!$B$7</f>
        <v/>
      </c>
    </row>
    <row r="541">
      <c r="A541" t="n">
        <v>540</v>
      </c>
      <c r="B541" s="4">
        <f>MAX(0,_xlfn.NORM.INV(RAND(),Model!$B$4,Model!$B$11))</f>
        <v/>
      </c>
      <c r="C541" s="12">
        <f>Model!$B$12+(Model!$B$13-Model!$B$12)*RAND()</f>
        <v/>
      </c>
      <c r="D541" s="4">
        <f>MIN(B541,Model!$B$8)</f>
        <v/>
      </c>
      <c r="E541" s="6">
        <f>D541*(Model!$B$5-C541)-Model!$B$7</f>
        <v/>
      </c>
    </row>
    <row r="542">
      <c r="A542" t="n">
        <v>541</v>
      </c>
      <c r="B542" s="4">
        <f>MAX(0,_xlfn.NORM.INV(RAND(),Model!$B$4,Model!$B$11))</f>
        <v/>
      </c>
      <c r="C542" s="12">
        <f>Model!$B$12+(Model!$B$13-Model!$B$12)*RAND()</f>
        <v/>
      </c>
      <c r="D542" s="4">
        <f>MIN(B542,Model!$B$8)</f>
        <v/>
      </c>
      <c r="E542" s="6">
        <f>D542*(Model!$B$5-C542)-Model!$B$7</f>
        <v/>
      </c>
    </row>
    <row r="543">
      <c r="A543" t="n">
        <v>542</v>
      </c>
      <c r="B543" s="4">
        <f>MAX(0,_xlfn.NORM.INV(RAND(),Model!$B$4,Model!$B$11))</f>
        <v/>
      </c>
      <c r="C543" s="12">
        <f>Model!$B$12+(Model!$B$13-Model!$B$12)*RAND()</f>
        <v/>
      </c>
      <c r="D543" s="4">
        <f>MIN(B543,Model!$B$8)</f>
        <v/>
      </c>
      <c r="E543" s="6">
        <f>D543*(Model!$B$5-C543)-Model!$B$7</f>
        <v/>
      </c>
    </row>
    <row r="544">
      <c r="A544" t="n">
        <v>543</v>
      </c>
      <c r="B544" s="4">
        <f>MAX(0,_xlfn.NORM.INV(RAND(),Model!$B$4,Model!$B$11))</f>
        <v/>
      </c>
      <c r="C544" s="12">
        <f>Model!$B$12+(Model!$B$13-Model!$B$12)*RAND()</f>
        <v/>
      </c>
      <c r="D544" s="4">
        <f>MIN(B544,Model!$B$8)</f>
        <v/>
      </c>
      <c r="E544" s="6">
        <f>D544*(Model!$B$5-C544)-Model!$B$7</f>
        <v/>
      </c>
    </row>
    <row r="545">
      <c r="A545" t="n">
        <v>544</v>
      </c>
      <c r="B545" s="4">
        <f>MAX(0,_xlfn.NORM.INV(RAND(),Model!$B$4,Model!$B$11))</f>
        <v/>
      </c>
      <c r="C545" s="12">
        <f>Model!$B$12+(Model!$B$13-Model!$B$12)*RAND()</f>
        <v/>
      </c>
      <c r="D545" s="4">
        <f>MIN(B545,Model!$B$8)</f>
        <v/>
      </c>
      <c r="E545" s="6">
        <f>D545*(Model!$B$5-C545)-Model!$B$7</f>
        <v/>
      </c>
    </row>
    <row r="546">
      <c r="A546" t="n">
        <v>545</v>
      </c>
      <c r="B546" s="4">
        <f>MAX(0,_xlfn.NORM.INV(RAND(),Model!$B$4,Model!$B$11))</f>
        <v/>
      </c>
      <c r="C546" s="12">
        <f>Model!$B$12+(Model!$B$13-Model!$B$12)*RAND()</f>
        <v/>
      </c>
      <c r="D546" s="4">
        <f>MIN(B546,Model!$B$8)</f>
        <v/>
      </c>
      <c r="E546" s="6">
        <f>D546*(Model!$B$5-C546)-Model!$B$7</f>
        <v/>
      </c>
    </row>
    <row r="547">
      <c r="A547" t="n">
        <v>546</v>
      </c>
      <c r="B547" s="4">
        <f>MAX(0,_xlfn.NORM.INV(RAND(),Model!$B$4,Model!$B$11))</f>
        <v/>
      </c>
      <c r="C547" s="12">
        <f>Model!$B$12+(Model!$B$13-Model!$B$12)*RAND()</f>
        <v/>
      </c>
      <c r="D547" s="4">
        <f>MIN(B547,Model!$B$8)</f>
        <v/>
      </c>
      <c r="E547" s="6">
        <f>D547*(Model!$B$5-C547)-Model!$B$7</f>
        <v/>
      </c>
    </row>
    <row r="548">
      <c r="A548" t="n">
        <v>547</v>
      </c>
      <c r="B548" s="4">
        <f>MAX(0,_xlfn.NORM.INV(RAND(),Model!$B$4,Model!$B$11))</f>
        <v/>
      </c>
      <c r="C548" s="12">
        <f>Model!$B$12+(Model!$B$13-Model!$B$12)*RAND()</f>
        <v/>
      </c>
      <c r="D548" s="4">
        <f>MIN(B548,Model!$B$8)</f>
        <v/>
      </c>
      <c r="E548" s="6">
        <f>D548*(Model!$B$5-C548)-Model!$B$7</f>
        <v/>
      </c>
    </row>
    <row r="549">
      <c r="A549" t="n">
        <v>548</v>
      </c>
      <c r="B549" s="4">
        <f>MAX(0,_xlfn.NORM.INV(RAND(),Model!$B$4,Model!$B$11))</f>
        <v/>
      </c>
      <c r="C549" s="12">
        <f>Model!$B$12+(Model!$B$13-Model!$B$12)*RAND()</f>
        <v/>
      </c>
      <c r="D549" s="4">
        <f>MIN(B549,Model!$B$8)</f>
        <v/>
      </c>
      <c r="E549" s="6">
        <f>D549*(Model!$B$5-C549)-Model!$B$7</f>
        <v/>
      </c>
    </row>
    <row r="550">
      <c r="A550" t="n">
        <v>549</v>
      </c>
      <c r="B550" s="4">
        <f>MAX(0,_xlfn.NORM.INV(RAND(),Model!$B$4,Model!$B$11))</f>
        <v/>
      </c>
      <c r="C550" s="12">
        <f>Model!$B$12+(Model!$B$13-Model!$B$12)*RAND()</f>
        <v/>
      </c>
      <c r="D550" s="4">
        <f>MIN(B550,Model!$B$8)</f>
        <v/>
      </c>
      <c r="E550" s="6">
        <f>D550*(Model!$B$5-C550)-Model!$B$7</f>
        <v/>
      </c>
    </row>
    <row r="551">
      <c r="A551" t="n">
        <v>550</v>
      </c>
      <c r="B551" s="4">
        <f>MAX(0,_xlfn.NORM.INV(RAND(),Model!$B$4,Model!$B$11))</f>
        <v/>
      </c>
      <c r="C551" s="12">
        <f>Model!$B$12+(Model!$B$13-Model!$B$12)*RAND()</f>
        <v/>
      </c>
      <c r="D551" s="4">
        <f>MIN(B551,Model!$B$8)</f>
        <v/>
      </c>
      <c r="E551" s="6">
        <f>D551*(Model!$B$5-C551)-Model!$B$7</f>
        <v/>
      </c>
    </row>
    <row r="552">
      <c r="A552" t="n">
        <v>551</v>
      </c>
      <c r="B552" s="4">
        <f>MAX(0,_xlfn.NORM.INV(RAND(),Model!$B$4,Model!$B$11))</f>
        <v/>
      </c>
      <c r="C552" s="12">
        <f>Model!$B$12+(Model!$B$13-Model!$B$12)*RAND()</f>
        <v/>
      </c>
      <c r="D552" s="4">
        <f>MIN(B552,Model!$B$8)</f>
        <v/>
      </c>
      <c r="E552" s="6">
        <f>D552*(Model!$B$5-C552)-Model!$B$7</f>
        <v/>
      </c>
    </row>
    <row r="553">
      <c r="A553" t="n">
        <v>552</v>
      </c>
      <c r="B553" s="4">
        <f>MAX(0,_xlfn.NORM.INV(RAND(),Model!$B$4,Model!$B$11))</f>
        <v/>
      </c>
      <c r="C553" s="12">
        <f>Model!$B$12+(Model!$B$13-Model!$B$12)*RAND()</f>
        <v/>
      </c>
      <c r="D553" s="4">
        <f>MIN(B553,Model!$B$8)</f>
        <v/>
      </c>
      <c r="E553" s="6">
        <f>D553*(Model!$B$5-C553)-Model!$B$7</f>
        <v/>
      </c>
    </row>
    <row r="554">
      <c r="A554" t="n">
        <v>553</v>
      </c>
      <c r="B554" s="4">
        <f>MAX(0,_xlfn.NORM.INV(RAND(),Model!$B$4,Model!$B$11))</f>
        <v/>
      </c>
      <c r="C554" s="12">
        <f>Model!$B$12+(Model!$B$13-Model!$B$12)*RAND()</f>
        <v/>
      </c>
      <c r="D554" s="4">
        <f>MIN(B554,Model!$B$8)</f>
        <v/>
      </c>
      <c r="E554" s="6">
        <f>D554*(Model!$B$5-C554)-Model!$B$7</f>
        <v/>
      </c>
    </row>
    <row r="555">
      <c r="A555" t="n">
        <v>554</v>
      </c>
      <c r="B555" s="4">
        <f>MAX(0,_xlfn.NORM.INV(RAND(),Model!$B$4,Model!$B$11))</f>
        <v/>
      </c>
      <c r="C555" s="12">
        <f>Model!$B$12+(Model!$B$13-Model!$B$12)*RAND()</f>
        <v/>
      </c>
      <c r="D555" s="4">
        <f>MIN(B555,Model!$B$8)</f>
        <v/>
      </c>
      <c r="E555" s="6">
        <f>D555*(Model!$B$5-C555)-Model!$B$7</f>
        <v/>
      </c>
    </row>
    <row r="556">
      <c r="A556" t="n">
        <v>555</v>
      </c>
      <c r="B556" s="4">
        <f>MAX(0,_xlfn.NORM.INV(RAND(),Model!$B$4,Model!$B$11))</f>
        <v/>
      </c>
      <c r="C556" s="12">
        <f>Model!$B$12+(Model!$B$13-Model!$B$12)*RAND()</f>
        <v/>
      </c>
      <c r="D556" s="4">
        <f>MIN(B556,Model!$B$8)</f>
        <v/>
      </c>
      <c r="E556" s="6">
        <f>D556*(Model!$B$5-C556)-Model!$B$7</f>
        <v/>
      </c>
    </row>
    <row r="557">
      <c r="A557" t="n">
        <v>556</v>
      </c>
      <c r="B557" s="4">
        <f>MAX(0,_xlfn.NORM.INV(RAND(),Model!$B$4,Model!$B$11))</f>
        <v/>
      </c>
      <c r="C557" s="12">
        <f>Model!$B$12+(Model!$B$13-Model!$B$12)*RAND()</f>
        <v/>
      </c>
      <c r="D557" s="4">
        <f>MIN(B557,Model!$B$8)</f>
        <v/>
      </c>
      <c r="E557" s="6">
        <f>D557*(Model!$B$5-C557)-Model!$B$7</f>
        <v/>
      </c>
    </row>
    <row r="558">
      <c r="A558" t="n">
        <v>557</v>
      </c>
      <c r="B558" s="4">
        <f>MAX(0,_xlfn.NORM.INV(RAND(),Model!$B$4,Model!$B$11))</f>
        <v/>
      </c>
      <c r="C558" s="12">
        <f>Model!$B$12+(Model!$B$13-Model!$B$12)*RAND()</f>
        <v/>
      </c>
      <c r="D558" s="4">
        <f>MIN(B558,Model!$B$8)</f>
        <v/>
      </c>
      <c r="E558" s="6">
        <f>D558*(Model!$B$5-C558)-Model!$B$7</f>
        <v/>
      </c>
    </row>
    <row r="559">
      <c r="A559" t="n">
        <v>558</v>
      </c>
      <c r="B559" s="4">
        <f>MAX(0,_xlfn.NORM.INV(RAND(),Model!$B$4,Model!$B$11))</f>
        <v/>
      </c>
      <c r="C559" s="12">
        <f>Model!$B$12+(Model!$B$13-Model!$B$12)*RAND()</f>
        <v/>
      </c>
      <c r="D559" s="4">
        <f>MIN(B559,Model!$B$8)</f>
        <v/>
      </c>
      <c r="E559" s="6">
        <f>D559*(Model!$B$5-C559)-Model!$B$7</f>
        <v/>
      </c>
    </row>
    <row r="560">
      <c r="A560" t="n">
        <v>559</v>
      </c>
      <c r="B560" s="4">
        <f>MAX(0,_xlfn.NORM.INV(RAND(),Model!$B$4,Model!$B$11))</f>
        <v/>
      </c>
      <c r="C560" s="12">
        <f>Model!$B$12+(Model!$B$13-Model!$B$12)*RAND()</f>
        <v/>
      </c>
      <c r="D560" s="4">
        <f>MIN(B560,Model!$B$8)</f>
        <v/>
      </c>
      <c r="E560" s="6">
        <f>D560*(Model!$B$5-C560)-Model!$B$7</f>
        <v/>
      </c>
    </row>
    <row r="561">
      <c r="A561" t="n">
        <v>560</v>
      </c>
      <c r="B561" s="4">
        <f>MAX(0,_xlfn.NORM.INV(RAND(),Model!$B$4,Model!$B$11))</f>
        <v/>
      </c>
      <c r="C561" s="12">
        <f>Model!$B$12+(Model!$B$13-Model!$B$12)*RAND()</f>
        <v/>
      </c>
      <c r="D561" s="4">
        <f>MIN(B561,Model!$B$8)</f>
        <v/>
      </c>
      <c r="E561" s="6">
        <f>D561*(Model!$B$5-C561)-Model!$B$7</f>
        <v/>
      </c>
    </row>
    <row r="562">
      <c r="A562" t="n">
        <v>561</v>
      </c>
      <c r="B562" s="4">
        <f>MAX(0,_xlfn.NORM.INV(RAND(),Model!$B$4,Model!$B$11))</f>
        <v/>
      </c>
      <c r="C562" s="12">
        <f>Model!$B$12+(Model!$B$13-Model!$B$12)*RAND()</f>
        <v/>
      </c>
      <c r="D562" s="4">
        <f>MIN(B562,Model!$B$8)</f>
        <v/>
      </c>
      <c r="E562" s="6">
        <f>D562*(Model!$B$5-C562)-Model!$B$7</f>
        <v/>
      </c>
    </row>
    <row r="563">
      <c r="A563" t="n">
        <v>562</v>
      </c>
      <c r="B563" s="4">
        <f>MAX(0,_xlfn.NORM.INV(RAND(),Model!$B$4,Model!$B$11))</f>
        <v/>
      </c>
      <c r="C563" s="12">
        <f>Model!$B$12+(Model!$B$13-Model!$B$12)*RAND()</f>
        <v/>
      </c>
      <c r="D563" s="4">
        <f>MIN(B563,Model!$B$8)</f>
        <v/>
      </c>
      <c r="E563" s="6">
        <f>D563*(Model!$B$5-C563)-Model!$B$7</f>
        <v/>
      </c>
    </row>
    <row r="564">
      <c r="A564" t="n">
        <v>563</v>
      </c>
      <c r="B564" s="4">
        <f>MAX(0,_xlfn.NORM.INV(RAND(),Model!$B$4,Model!$B$11))</f>
        <v/>
      </c>
      <c r="C564" s="12">
        <f>Model!$B$12+(Model!$B$13-Model!$B$12)*RAND()</f>
        <v/>
      </c>
      <c r="D564" s="4">
        <f>MIN(B564,Model!$B$8)</f>
        <v/>
      </c>
      <c r="E564" s="6">
        <f>D564*(Model!$B$5-C564)-Model!$B$7</f>
        <v/>
      </c>
    </row>
    <row r="565">
      <c r="A565" t="n">
        <v>564</v>
      </c>
      <c r="B565" s="4">
        <f>MAX(0,_xlfn.NORM.INV(RAND(),Model!$B$4,Model!$B$11))</f>
        <v/>
      </c>
      <c r="C565" s="12">
        <f>Model!$B$12+(Model!$B$13-Model!$B$12)*RAND()</f>
        <v/>
      </c>
      <c r="D565" s="4">
        <f>MIN(B565,Model!$B$8)</f>
        <v/>
      </c>
      <c r="E565" s="6">
        <f>D565*(Model!$B$5-C565)-Model!$B$7</f>
        <v/>
      </c>
    </row>
    <row r="566">
      <c r="A566" t="n">
        <v>565</v>
      </c>
      <c r="B566" s="4">
        <f>MAX(0,_xlfn.NORM.INV(RAND(),Model!$B$4,Model!$B$11))</f>
        <v/>
      </c>
      <c r="C566" s="12">
        <f>Model!$B$12+(Model!$B$13-Model!$B$12)*RAND()</f>
        <v/>
      </c>
      <c r="D566" s="4">
        <f>MIN(B566,Model!$B$8)</f>
        <v/>
      </c>
      <c r="E566" s="6">
        <f>D566*(Model!$B$5-C566)-Model!$B$7</f>
        <v/>
      </c>
    </row>
    <row r="567">
      <c r="A567" t="n">
        <v>566</v>
      </c>
      <c r="B567" s="4">
        <f>MAX(0,_xlfn.NORM.INV(RAND(),Model!$B$4,Model!$B$11))</f>
        <v/>
      </c>
      <c r="C567" s="12">
        <f>Model!$B$12+(Model!$B$13-Model!$B$12)*RAND()</f>
        <v/>
      </c>
      <c r="D567" s="4">
        <f>MIN(B567,Model!$B$8)</f>
        <v/>
      </c>
      <c r="E567" s="6">
        <f>D567*(Model!$B$5-C567)-Model!$B$7</f>
        <v/>
      </c>
    </row>
    <row r="568">
      <c r="A568" t="n">
        <v>567</v>
      </c>
      <c r="B568" s="4">
        <f>MAX(0,_xlfn.NORM.INV(RAND(),Model!$B$4,Model!$B$11))</f>
        <v/>
      </c>
      <c r="C568" s="12">
        <f>Model!$B$12+(Model!$B$13-Model!$B$12)*RAND()</f>
        <v/>
      </c>
      <c r="D568" s="4">
        <f>MIN(B568,Model!$B$8)</f>
        <v/>
      </c>
      <c r="E568" s="6">
        <f>D568*(Model!$B$5-C568)-Model!$B$7</f>
        <v/>
      </c>
    </row>
    <row r="569">
      <c r="A569" t="n">
        <v>568</v>
      </c>
      <c r="B569" s="4">
        <f>MAX(0,_xlfn.NORM.INV(RAND(),Model!$B$4,Model!$B$11))</f>
        <v/>
      </c>
      <c r="C569" s="12">
        <f>Model!$B$12+(Model!$B$13-Model!$B$12)*RAND()</f>
        <v/>
      </c>
      <c r="D569" s="4">
        <f>MIN(B569,Model!$B$8)</f>
        <v/>
      </c>
      <c r="E569" s="6">
        <f>D569*(Model!$B$5-C569)-Model!$B$7</f>
        <v/>
      </c>
    </row>
    <row r="570">
      <c r="A570" t="n">
        <v>569</v>
      </c>
      <c r="B570" s="4">
        <f>MAX(0,_xlfn.NORM.INV(RAND(),Model!$B$4,Model!$B$11))</f>
        <v/>
      </c>
      <c r="C570" s="12">
        <f>Model!$B$12+(Model!$B$13-Model!$B$12)*RAND()</f>
        <v/>
      </c>
      <c r="D570" s="4">
        <f>MIN(B570,Model!$B$8)</f>
        <v/>
      </c>
      <c r="E570" s="6">
        <f>D570*(Model!$B$5-C570)-Model!$B$7</f>
        <v/>
      </c>
    </row>
    <row r="571">
      <c r="A571" t="n">
        <v>570</v>
      </c>
      <c r="B571" s="4">
        <f>MAX(0,_xlfn.NORM.INV(RAND(),Model!$B$4,Model!$B$11))</f>
        <v/>
      </c>
      <c r="C571" s="12">
        <f>Model!$B$12+(Model!$B$13-Model!$B$12)*RAND()</f>
        <v/>
      </c>
      <c r="D571" s="4">
        <f>MIN(B571,Model!$B$8)</f>
        <v/>
      </c>
      <c r="E571" s="6">
        <f>D571*(Model!$B$5-C571)-Model!$B$7</f>
        <v/>
      </c>
    </row>
    <row r="572">
      <c r="A572" t="n">
        <v>571</v>
      </c>
      <c r="B572" s="4">
        <f>MAX(0,_xlfn.NORM.INV(RAND(),Model!$B$4,Model!$B$11))</f>
        <v/>
      </c>
      <c r="C572" s="12">
        <f>Model!$B$12+(Model!$B$13-Model!$B$12)*RAND()</f>
        <v/>
      </c>
      <c r="D572" s="4">
        <f>MIN(B572,Model!$B$8)</f>
        <v/>
      </c>
      <c r="E572" s="6">
        <f>D572*(Model!$B$5-C572)-Model!$B$7</f>
        <v/>
      </c>
    </row>
    <row r="573">
      <c r="A573" t="n">
        <v>572</v>
      </c>
      <c r="B573" s="4">
        <f>MAX(0,_xlfn.NORM.INV(RAND(),Model!$B$4,Model!$B$11))</f>
        <v/>
      </c>
      <c r="C573" s="12">
        <f>Model!$B$12+(Model!$B$13-Model!$B$12)*RAND()</f>
        <v/>
      </c>
      <c r="D573" s="4">
        <f>MIN(B573,Model!$B$8)</f>
        <v/>
      </c>
      <c r="E573" s="6">
        <f>D573*(Model!$B$5-C573)-Model!$B$7</f>
        <v/>
      </c>
    </row>
    <row r="574">
      <c r="A574" t="n">
        <v>573</v>
      </c>
      <c r="B574" s="4">
        <f>MAX(0,_xlfn.NORM.INV(RAND(),Model!$B$4,Model!$B$11))</f>
        <v/>
      </c>
      <c r="C574" s="12">
        <f>Model!$B$12+(Model!$B$13-Model!$B$12)*RAND()</f>
        <v/>
      </c>
      <c r="D574" s="4">
        <f>MIN(B574,Model!$B$8)</f>
        <v/>
      </c>
      <c r="E574" s="6">
        <f>D574*(Model!$B$5-C574)-Model!$B$7</f>
        <v/>
      </c>
    </row>
    <row r="575">
      <c r="A575" t="n">
        <v>574</v>
      </c>
      <c r="B575" s="4">
        <f>MAX(0,_xlfn.NORM.INV(RAND(),Model!$B$4,Model!$B$11))</f>
        <v/>
      </c>
      <c r="C575" s="12">
        <f>Model!$B$12+(Model!$B$13-Model!$B$12)*RAND()</f>
        <v/>
      </c>
      <c r="D575" s="4">
        <f>MIN(B575,Model!$B$8)</f>
        <v/>
      </c>
      <c r="E575" s="6">
        <f>D575*(Model!$B$5-C575)-Model!$B$7</f>
        <v/>
      </c>
    </row>
    <row r="576">
      <c r="A576" t="n">
        <v>575</v>
      </c>
      <c r="B576" s="4">
        <f>MAX(0,_xlfn.NORM.INV(RAND(),Model!$B$4,Model!$B$11))</f>
        <v/>
      </c>
      <c r="C576" s="12">
        <f>Model!$B$12+(Model!$B$13-Model!$B$12)*RAND()</f>
        <v/>
      </c>
      <c r="D576" s="4">
        <f>MIN(B576,Model!$B$8)</f>
        <v/>
      </c>
      <c r="E576" s="6">
        <f>D576*(Model!$B$5-C576)-Model!$B$7</f>
        <v/>
      </c>
    </row>
    <row r="577">
      <c r="A577" t="n">
        <v>576</v>
      </c>
      <c r="B577" s="4">
        <f>MAX(0,_xlfn.NORM.INV(RAND(),Model!$B$4,Model!$B$11))</f>
        <v/>
      </c>
      <c r="C577" s="12">
        <f>Model!$B$12+(Model!$B$13-Model!$B$12)*RAND()</f>
        <v/>
      </c>
      <c r="D577" s="4">
        <f>MIN(B577,Model!$B$8)</f>
        <v/>
      </c>
      <c r="E577" s="6">
        <f>D577*(Model!$B$5-C577)-Model!$B$7</f>
        <v/>
      </c>
    </row>
    <row r="578">
      <c r="A578" t="n">
        <v>577</v>
      </c>
      <c r="B578" s="4">
        <f>MAX(0,_xlfn.NORM.INV(RAND(),Model!$B$4,Model!$B$11))</f>
        <v/>
      </c>
      <c r="C578" s="12">
        <f>Model!$B$12+(Model!$B$13-Model!$B$12)*RAND()</f>
        <v/>
      </c>
      <c r="D578" s="4">
        <f>MIN(B578,Model!$B$8)</f>
        <v/>
      </c>
      <c r="E578" s="6">
        <f>D578*(Model!$B$5-C578)-Model!$B$7</f>
        <v/>
      </c>
    </row>
    <row r="579">
      <c r="A579" t="n">
        <v>578</v>
      </c>
      <c r="B579" s="4">
        <f>MAX(0,_xlfn.NORM.INV(RAND(),Model!$B$4,Model!$B$11))</f>
        <v/>
      </c>
      <c r="C579" s="12">
        <f>Model!$B$12+(Model!$B$13-Model!$B$12)*RAND()</f>
        <v/>
      </c>
      <c r="D579" s="4">
        <f>MIN(B579,Model!$B$8)</f>
        <v/>
      </c>
      <c r="E579" s="6">
        <f>D579*(Model!$B$5-C579)-Model!$B$7</f>
        <v/>
      </c>
    </row>
    <row r="580">
      <c r="A580" t="n">
        <v>579</v>
      </c>
      <c r="B580" s="4">
        <f>MAX(0,_xlfn.NORM.INV(RAND(),Model!$B$4,Model!$B$11))</f>
        <v/>
      </c>
      <c r="C580" s="12">
        <f>Model!$B$12+(Model!$B$13-Model!$B$12)*RAND()</f>
        <v/>
      </c>
      <c r="D580" s="4">
        <f>MIN(B580,Model!$B$8)</f>
        <v/>
      </c>
      <c r="E580" s="6">
        <f>D580*(Model!$B$5-C580)-Model!$B$7</f>
        <v/>
      </c>
    </row>
    <row r="581">
      <c r="A581" t="n">
        <v>580</v>
      </c>
      <c r="B581" s="4">
        <f>MAX(0,_xlfn.NORM.INV(RAND(),Model!$B$4,Model!$B$11))</f>
        <v/>
      </c>
      <c r="C581" s="12">
        <f>Model!$B$12+(Model!$B$13-Model!$B$12)*RAND()</f>
        <v/>
      </c>
      <c r="D581" s="4">
        <f>MIN(B581,Model!$B$8)</f>
        <v/>
      </c>
      <c r="E581" s="6">
        <f>D581*(Model!$B$5-C581)-Model!$B$7</f>
        <v/>
      </c>
    </row>
    <row r="582">
      <c r="A582" t="n">
        <v>581</v>
      </c>
      <c r="B582" s="4">
        <f>MAX(0,_xlfn.NORM.INV(RAND(),Model!$B$4,Model!$B$11))</f>
        <v/>
      </c>
      <c r="C582" s="12">
        <f>Model!$B$12+(Model!$B$13-Model!$B$12)*RAND()</f>
        <v/>
      </c>
      <c r="D582" s="4">
        <f>MIN(B582,Model!$B$8)</f>
        <v/>
      </c>
      <c r="E582" s="6">
        <f>D582*(Model!$B$5-C582)-Model!$B$7</f>
        <v/>
      </c>
    </row>
    <row r="583">
      <c r="A583" t="n">
        <v>582</v>
      </c>
      <c r="B583" s="4">
        <f>MAX(0,_xlfn.NORM.INV(RAND(),Model!$B$4,Model!$B$11))</f>
        <v/>
      </c>
      <c r="C583" s="12">
        <f>Model!$B$12+(Model!$B$13-Model!$B$12)*RAND()</f>
        <v/>
      </c>
      <c r="D583" s="4">
        <f>MIN(B583,Model!$B$8)</f>
        <v/>
      </c>
      <c r="E583" s="6">
        <f>D583*(Model!$B$5-C583)-Model!$B$7</f>
        <v/>
      </c>
    </row>
    <row r="584">
      <c r="A584" t="n">
        <v>583</v>
      </c>
      <c r="B584" s="4">
        <f>MAX(0,_xlfn.NORM.INV(RAND(),Model!$B$4,Model!$B$11))</f>
        <v/>
      </c>
      <c r="C584" s="12">
        <f>Model!$B$12+(Model!$B$13-Model!$B$12)*RAND()</f>
        <v/>
      </c>
      <c r="D584" s="4">
        <f>MIN(B584,Model!$B$8)</f>
        <v/>
      </c>
      <c r="E584" s="6">
        <f>D584*(Model!$B$5-C584)-Model!$B$7</f>
        <v/>
      </c>
    </row>
    <row r="585">
      <c r="A585" t="n">
        <v>584</v>
      </c>
      <c r="B585" s="4">
        <f>MAX(0,_xlfn.NORM.INV(RAND(),Model!$B$4,Model!$B$11))</f>
        <v/>
      </c>
      <c r="C585" s="12">
        <f>Model!$B$12+(Model!$B$13-Model!$B$12)*RAND()</f>
        <v/>
      </c>
      <c r="D585" s="4">
        <f>MIN(B585,Model!$B$8)</f>
        <v/>
      </c>
      <c r="E585" s="6">
        <f>D585*(Model!$B$5-C585)-Model!$B$7</f>
        <v/>
      </c>
    </row>
    <row r="586">
      <c r="A586" t="n">
        <v>585</v>
      </c>
      <c r="B586" s="4">
        <f>MAX(0,_xlfn.NORM.INV(RAND(),Model!$B$4,Model!$B$11))</f>
        <v/>
      </c>
      <c r="C586" s="12">
        <f>Model!$B$12+(Model!$B$13-Model!$B$12)*RAND()</f>
        <v/>
      </c>
      <c r="D586" s="4">
        <f>MIN(B586,Model!$B$8)</f>
        <v/>
      </c>
      <c r="E586" s="6">
        <f>D586*(Model!$B$5-C586)-Model!$B$7</f>
        <v/>
      </c>
    </row>
    <row r="587">
      <c r="A587" t="n">
        <v>586</v>
      </c>
      <c r="B587" s="4">
        <f>MAX(0,_xlfn.NORM.INV(RAND(),Model!$B$4,Model!$B$11))</f>
        <v/>
      </c>
      <c r="C587" s="12">
        <f>Model!$B$12+(Model!$B$13-Model!$B$12)*RAND()</f>
        <v/>
      </c>
      <c r="D587" s="4">
        <f>MIN(B587,Model!$B$8)</f>
        <v/>
      </c>
      <c r="E587" s="6">
        <f>D587*(Model!$B$5-C587)-Model!$B$7</f>
        <v/>
      </c>
    </row>
    <row r="588">
      <c r="A588" t="n">
        <v>587</v>
      </c>
      <c r="B588" s="4">
        <f>MAX(0,_xlfn.NORM.INV(RAND(),Model!$B$4,Model!$B$11))</f>
        <v/>
      </c>
      <c r="C588" s="12">
        <f>Model!$B$12+(Model!$B$13-Model!$B$12)*RAND()</f>
        <v/>
      </c>
      <c r="D588" s="4">
        <f>MIN(B588,Model!$B$8)</f>
        <v/>
      </c>
      <c r="E588" s="6">
        <f>D588*(Model!$B$5-C588)-Model!$B$7</f>
        <v/>
      </c>
    </row>
    <row r="589">
      <c r="A589" t="n">
        <v>588</v>
      </c>
      <c r="B589" s="4">
        <f>MAX(0,_xlfn.NORM.INV(RAND(),Model!$B$4,Model!$B$11))</f>
        <v/>
      </c>
      <c r="C589" s="12">
        <f>Model!$B$12+(Model!$B$13-Model!$B$12)*RAND()</f>
        <v/>
      </c>
      <c r="D589" s="4">
        <f>MIN(B589,Model!$B$8)</f>
        <v/>
      </c>
      <c r="E589" s="6">
        <f>D589*(Model!$B$5-C589)-Model!$B$7</f>
        <v/>
      </c>
    </row>
    <row r="590">
      <c r="A590" t="n">
        <v>589</v>
      </c>
      <c r="B590" s="4">
        <f>MAX(0,_xlfn.NORM.INV(RAND(),Model!$B$4,Model!$B$11))</f>
        <v/>
      </c>
      <c r="C590" s="12">
        <f>Model!$B$12+(Model!$B$13-Model!$B$12)*RAND()</f>
        <v/>
      </c>
      <c r="D590" s="4">
        <f>MIN(B590,Model!$B$8)</f>
        <v/>
      </c>
      <c r="E590" s="6">
        <f>D590*(Model!$B$5-C590)-Model!$B$7</f>
        <v/>
      </c>
    </row>
    <row r="591">
      <c r="A591" t="n">
        <v>590</v>
      </c>
      <c r="B591" s="4">
        <f>MAX(0,_xlfn.NORM.INV(RAND(),Model!$B$4,Model!$B$11))</f>
        <v/>
      </c>
      <c r="C591" s="12">
        <f>Model!$B$12+(Model!$B$13-Model!$B$12)*RAND()</f>
        <v/>
      </c>
      <c r="D591" s="4">
        <f>MIN(B591,Model!$B$8)</f>
        <v/>
      </c>
      <c r="E591" s="6">
        <f>D591*(Model!$B$5-C591)-Model!$B$7</f>
        <v/>
      </c>
    </row>
    <row r="592">
      <c r="A592" t="n">
        <v>591</v>
      </c>
      <c r="B592" s="4">
        <f>MAX(0,_xlfn.NORM.INV(RAND(),Model!$B$4,Model!$B$11))</f>
        <v/>
      </c>
      <c r="C592" s="12">
        <f>Model!$B$12+(Model!$B$13-Model!$B$12)*RAND()</f>
        <v/>
      </c>
      <c r="D592" s="4">
        <f>MIN(B592,Model!$B$8)</f>
        <v/>
      </c>
      <c r="E592" s="6">
        <f>D592*(Model!$B$5-C592)-Model!$B$7</f>
        <v/>
      </c>
    </row>
    <row r="593">
      <c r="A593" t="n">
        <v>592</v>
      </c>
      <c r="B593" s="4">
        <f>MAX(0,_xlfn.NORM.INV(RAND(),Model!$B$4,Model!$B$11))</f>
        <v/>
      </c>
      <c r="C593" s="12">
        <f>Model!$B$12+(Model!$B$13-Model!$B$12)*RAND()</f>
        <v/>
      </c>
      <c r="D593" s="4">
        <f>MIN(B593,Model!$B$8)</f>
        <v/>
      </c>
      <c r="E593" s="6">
        <f>D593*(Model!$B$5-C593)-Model!$B$7</f>
        <v/>
      </c>
    </row>
    <row r="594">
      <c r="A594" t="n">
        <v>593</v>
      </c>
      <c r="B594" s="4">
        <f>MAX(0,_xlfn.NORM.INV(RAND(),Model!$B$4,Model!$B$11))</f>
        <v/>
      </c>
      <c r="C594" s="12">
        <f>Model!$B$12+(Model!$B$13-Model!$B$12)*RAND()</f>
        <v/>
      </c>
      <c r="D594" s="4">
        <f>MIN(B594,Model!$B$8)</f>
        <v/>
      </c>
      <c r="E594" s="6">
        <f>D594*(Model!$B$5-C594)-Model!$B$7</f>
        <v/>
      </c>
    </row>
    <row r="595">
      <c r="A595" t="n">
        <v>594</v>
      </c>
      <c r="B595" s="4">
        <f>MAX(0,_xlfn.NORM.INV(RAND(),Model!$B$4,Model!$B$11))</f>
        <v/>
      </c>
      <c r="C595" s="12">
        <f>Model!$B$12+(Model!$B$13-Model!$B$12)*RAND()</f>
        <v/>
      </c>
      <c r="D595" s="4">
        <f>MIN(B595,Model!$B$8)</f>
        <v/>
      </c>
      <c r="E595" s="6">
        <f>D595*(Model!$B$5-C595)-Model!$B$7</f>
        <v/>
      </c>
    </row>
    <row r="596">
      <c r="A596" t="n">
        <v>595</v>
      </c>
      <c r="B596" s="4">
        <f>MAX(0,_xlfn.NORM.INV(RAND(),Model!$B$4,Model!$B$11))</f>
        <v/>
      </c>
      <c r="C596" s="12">
        <f>Model!$B$12+(Model!$B$13-Model!$B$12)*RAND()</f>
        <v/>
      </c>
      <c r="D596" s="4">
        <f>MIN(B596,Model!$B$8)</f>
        <v/>
      </c>
      <c r="E596" s="6">
        <f>D596*(Model!$B$5-C596)-Model!$B$7</f>
        <v/>
      </c>
    </row>
    <row r="597">
      <c r="A597" t="n">
        <v>596</v>
      </c>
      <c r="B597" s="4">
        <f>MAX(0,_xlfn.NORM.INV(RAND(),Model!$B$4,Model!$B$11))</f>
        <v/>
      </c>
      <c r="C597" s="12">
        <f>Model!$B$12+(Model!$B$13-Model!$B$12)*RAND()</f>
        <v/>
      </c>
      <c r="D597" s="4">
        <f>MIN(B597,Model!$B$8)</f>
        <v/>
      </c>
      <c r="E597" s="6">
        <f>D597*(Model!$B$5-C597)-Model!$B$7</f>
        <v/>
      </c>
    </row>
    <row r="598">
      <c r="A598" t="n">
        <v>597</v>
      </c>
      <c r="B598" s="4">
        <f>MAX(0,_xlfn.NORM.INV(RAND(),Model!$B$4,Model!$B$11))</f>
        <v/>
      </c>
      <c r="C598" s="12">
        <f>Model!$B$12+(Model!$B$13-Model!$B$12)*RAND()</f>
        <v/>
      </c>
      <c r="D598" s="4">
        <f>MIN(B598,Model!$B$8)</f>
        <v/>
      </c>
      <c r="E598" s="6">
        <f>D598*(Model!$B$5-C598)-Model!$B$7</f>
        <v/>
      </c>
    </row>
    <row r="599">
      <c r="A599" t="n">
        <v>598</v>
      </c>
      <c r="B599" s="4">
        <f>MAX(0,_xlfn.NORM.INV(RAND(),Model!$B$4,Model!$B$11))</f>
        <v/>
      </c>
      <c r="C599" s="12">
        <f>Model!$B$12+(Model!$B$13-Model!$B$12)*RAND()</f>
        <v/>
      </c>
      <c r="D599" s="4">
        <f>MIN(B599,Model!$B$8)</f>
        <v/>
      </c>
      <c r="E599" s="6">
        <f>D599*(Model!$B$5-C599)-Model!$B$7</f>
        <v/>
      </c>
    </row>
    <row r="600">
      <c r="A600" t="n">
        <v>599</v>
      </c>
      <c r="B600" s="4">
        <f>MAX(0,_xlfn.NORM.INV(RAND(),Model!$B$4,Model!$B$11))</f>
        <v/>
      </c>
      <c r="C600" s="12">
        <f>Model!$B$12+(Model!$B$13-Model!$B$12)*RAND()</f>
        <v/>
      </c>
      <c r="D600" s="4">
        <f>MIN(B600,Model!$B$8)</f>
        <v/>
      </c>
      <c r="E600" s="6">
        <f>D600*(Model!$B$5-C600)-Model!$B$7</f>
        <v/>
      </c>
    </row>
    <row r="601">
      <c r="A601" t="n">
        <v>600</v>
      </c>
      <c r="B601" s="4">
        <f>MAX(0,_xlfn.NORM.INV(RAND(),Model!$B$4,Model!$B$11))</f>
        <v/>
      </c>
      <c r="C601" s="12">
        <f>Model!$B$12+(Model!$B$13-Model!$B$12)*RAND()</f>
        <v/>
      </c>
      <c r="D601" s="4">
        <f>MIN(B601,Model!$B$8)</f>
        <v/>
      </c>
      <c r="E601" s="6">
        <f>D601*(Model!$B$5-C601)-Model!$B$7</f>
        <v/>
      </c>
    </row>
    <row r="602">
      <c r="A602" t="n">
        <v>601</v>
      </c>
      <c r="B602" s="4">
        <f>MAX(0,_xlfn.NORM.INV(RAND(),Model!$B$4,Model!$B$11))</f>
        <v/>
      </c>
      <c r="C602" s="12">
        <f>Model!$B$12+(Model!$B$13-Model!$B$12)*RAND()</f>
        <v/>
      </c>
      <c r="D602" s="4">
        <f>MIN(B602,Model!$B$8)</f>
        <v/>
      </c>
      <c r="E602" s="6">
        <f>D602*(Model!$B$5-C602)-Model!$B$7</f>
        <v/>
      </c>
    </row>
    <row r="603">
      <c r="A603" t="n">
        <v>602</v>
      </c>
      <c r="B603" s="4">
        <f>MAX(0,_xlfn.NORM.INV(RAND(),Model!$B$4,Model!$B$11))</f>
        <v/>
      </c>
      <c r="C603" s="12">
        <f>Model!$B$12+(Model!$B$13-Model!$B$12)*RAND()</f>
        <v/>
      </c>
      <c r="D603" s="4">
        <f>MIN(B603,Model!$B$8)</f>
        <v/>
      </c>
      <c r="E603" s="6">
        <f>D603*(Model!$B$5-C603)-Model!$B$7</f>
        <v/>
      </c>
    </row>
    <row r="604">
      <c r="A604" t="n">
        <v>603</v>
      </c>
      <c r="B604" s="4">
        <f>MAX(0,_xlfn.NORM.INV(RAND(),Model!$B$4,Model!$B$11))</f>
        <v/>
      </c>
      <c r="C604" s="12">
        <f>Model!$B$12+(Model!$B$13-Model!$B$12)*RAND()</f>
        <v/>
      </c>
      <c r="D604" s="4">
        <f>MIN(B604,Model!$B$8)</f>
        <v/>
      </c>
      <c r="E604" s="6">
        <f>D604*(Model!$B$5-C604)-Model!$B$7</f>
        <v/>
      </c>
    </row>
    <row r="605">
      <c r="A605" t="n">
        <v>604</v>
      </c>
      <c r="B605" s="4">
        <f>MAX(0,_xlfn.NORM.INV(RAND(),Model!$B$4,Model!$B$11))</f>
        <v/>
      </c>
      <c r="C605" s="12">
        <f>Model!$B$12+(Model!$B$13-Model!$B$12)*RAND()</f>
        <v/>
      </c>
      <c r="D605" s="4">
        <f>MIN(B605,Model!$B$8)</f>
        <v/>
      </c>
      <c r="E605" s="6">
        <f>D605*(Model!$B$5-C605)-Model!$B$7</f>
        <v/>
      </c>
    </row>
    <row r="606">
      <c r="A606" t="n">
        <v>605</v>
      </c>
      <c r="B606" s="4">
        <f>MAX(0,_xlfn.NORM.INV(RAND(),Model!$B$4,Model!$B$11))</f>
        <v/>
      </c>
      <c r="C606" s="12">
        <f>Model!$B$12+(Model!$B$13-Model!$B$12)*RAND()</f>
        <v/>
      </c>
      <c r="D606" s="4">
        <f>MIN(B606,Model!$B$8)</f>
        <v/>
      </c>
      <c r="E606" s="6">
        <f>D606*(Model!$B$5-C606)-Model!$B$7</f>
        <v/>
      </c>
    </row>
    <row r="607">
      <c r="A607" t="n">
        <v>606</v>
      </c>
      <c r="B607" s="4">
        <f>MAX(0,_xlfn.NORM.INV(RAND(),Model!$B$4,Model!$B$11))</f>
        <v/>
      </c>
      <c r="C607" s="12">
        <f>Model!$B$12+(Model!$B$13-Model!$B$12)*RAND()</f>
        <v/>
      </c>
      <c r="D607" s="4">
        <f>MIN(B607,Model!$B$8)</f>
        <v/>
      </c>
      <c r="E607" s="6">
        <f>D607*(Model!$B$5-C607)-Model!$B$7</f>
        <v/>
      </c>
    </row>
    <row r="608">
      <c r="A608" t="n">
        <v>607</v>
      </c>
      <c r="B608" s="4">
        <f>MAX(0,_xlfn.NORM.INV(RAND(),Model!$B$4,Model!$B$11))</f>
        <v/>
      </c>
      <c r="C608" s="12">
        <f>Model!$B$12+(Model!$B$13-Model!$B$12)*RAND()</f>
        <v/>
      </c>
      <c r="D608" s="4">
        <f>MIN(B608,Model!$B$8)</f>
        <v/>
      </c>
      <c r="E608" s="6">
        <f>D608*(Model!$B$5-C608)-Model!$B$7</f>
        <v/>
      </c>
    </row>
    <row r="609">
      <c r="A609" t="n">
        <v>608</v>
      </c>
      <c r="B609" s="4">
        <f>MAX(0,_xlfn.NORM.INV(RAND(),Model!$B$4,Model!$B$11))</f>
        <v/>
      </c>
      <c r="C609" s="12">
        <f>Model!$B$12+(Model!$B$13-Model!$B$12)*RAND()</f>
        <v/>
      </c>
      <c r="D609" s="4">
        <f>MIN(B609,Model!$B$8)</f>
        <v/>
      </c>
      <c r="E609" s="6">
        <f>D609*(Model!$B$5-C609)-Model!$B$7</f>
        <v/>
      </c>
    </row>
    <row r="610">
      <c r="A610" t="n">
        <v>609</v>
      </c>
      <c r="B610" s="4">
        <f>MAX(0,_xlfn.NORM.INV(RAND(),Model!$B$4,Model!$B$11))</f>
        <v/>
      </c>
      <c r="C610" s="12">
        <f>Model!$B$12+(Model!$B$13-Model!$B$12)*RAND()</f>
        <v/>
      </c>
      <c r="D610" s="4">
        <f>MIN(B610,Model!$B$8)</f>
        <v/>
      </c>
      <c r="E610" s="6">
        <f>D610*(Model!$B$5-C610)-Model!$B$7</f>
        <v/>
      </c>
    </row>
    <row r="611">
      <c r="A611" t="n">
        <v>610</v>
      </c>
      <c r="B611" s="4">
        <f>MAX(0,_xlfn.NORM.INV(RAND(),Model!$B$4,Model!$B$11))</f>
        <v/>
      </c>
      <c r="C611" s="12">
        <f>Model!$B$12+(Model!$B$13-Model!$B$12)*RAND()</f>
        <v/>
      </c>
      <c r="D611" s="4">
        <f>MIN(B611,Model!$B$8)</f>
        <v/>
      </c>
      <c r="E611" s="6">
        <f>D611*(Model!$B$5-C611)-Model!$B$7</f>
        <v/>
      </c>
    </row>
    <row r="612">
      <c r="A612" t="n">
        <v>611</v>
      </c>
      <c r="B612" s="4">
        <f>MAX(0,_xlfn.NORM.INV(RAND(),Model!$B$4,Model!$B$11))</f>
        <v/>
      </c>
      <c r="C612" s="12">
        <f>Model!$B$12+(Model!$B$13-Model!$B$12)*RAND()</f>
        <v/>
      </c>
      <c r="D612" s="4">
        <f>MIN(B612,Model!$B$8)</f>
        <v/>
      </c>
      <c r="E612" s="6">
        <f>D612*(Model!$B$5-C612)-Model!$B$7</f>
        <v/>
      </c>
    </row>
    <row r="613">
      <c r="A613" t="n">
        <v>612</v>
      </c>
      <c r="B613" s="4">
        <f>MAX(0,_xlfn.NORM.INV(RAND(),Model!$B$4,Model!$B$11))</f>
        <v/>
      </c>
      <c r="C613" s="12">
        <f>Model!$B$12+(Model!$B$13-Model!$B$12)*RAND()</f>
        <v/>
      </c>
      <c r="D613" s="4">
        <f>MIN(B613,Model!$B$8)</f>
        <v/>
      </c>
      <c r="E613" s="6">
        <f>D613*(Model!$B$5-C613)-Model!$B$7</f>
        <v/>
      </c>
    </row>
    <row r="614">
      <c r="A614" t="n">
        <v>613</v>
      </c>
      <c r="B614" s="4">
        <f>MAX(0,_xlfn.NORM.INV(RAND(),Model!$B$4,Model!$B$11))</f>
        <v/>
      </c>
      <c r="C614" s="12">
        <f>Model!$B$12+(Model!$B$13-Model!$B$12)*RAND()</f>
        <v/>
      </c>
      <c r="D614" s="4">
        <f>MIN(B614,Model!$B$8)</f>
        <v/>
      </c>
      <c r="E614" s="6">
        <f>D614*(Model!$B$5-C614)-Model!$B$7</f>
        <v/>
      </c>
    </row>
    <row r="615">
      <c r="A615" t="n">
        <v>614</v>
      </c>
      <c r="B615" s="4">
        <f>MAX(0,_xlfn.NORM.INV(RAND(),Model!$B$4,Model!$B$11))</f>
        <v/>
      </c>
      <c r="C615" s="12">
        <f>Model!$B$12+(Model!$B$13-Model!$B$12)*RAND()</f>
        <v/>
      </c>
      <c r="D615" s="4">
        <f>MIN(B615,Model!$B$8)</f>
        <v/>
      </c>
      <c r="E615" s="6">
        <f>D615*(Model!$B$5-C615)-Model!$B$7</f>
        <v/>
      </c>
    </row>
    <row r="616">
      <c r="A616" t="n">
        <v>615</v>
      </c>
      <c r="B616" s="4">
        <f>MAX(0,_xlfn.NORM.INV(RAND(),Model!$B$4,Model!$B$11))</f>
        <v/>
      </c>
      <c r="C616" s="12">
        <f>Model!$B$12+(Model!$B$13-Model!$B$12)*RAND()</f>
        <v/>
      </c>
      <c r="D616" s="4">
        <f>MIN(B616,Model!$B$8)</f>
        <v/>
      </c>
      <c r="E616" s="6">
        <f>D616*(Model!$B$5-C616)-Model!$B$7</f>
        <v/>
      </c>
    </row>
    <row r="617">
      <c r="A617" t="n">
        <v>616</v>
      </c>
      <c r="B617" s="4">
        <f>MAX(0,_xlfn.NORM.INV(RAND(),Model!$B$4,Model!$B$11))</f>
        <v/>
      </c>
      <c r="C617" s="12">
        <f>Model!$B$12+(Model!$B$13-Model!$B$12)*RAND()</f>
        <v/>
      </c>
      <c r="D617" s="4">
        <f>MIN(B617,Model!$B$8)</f>
        <v/>
      </c>
      <c r="E617" s="6">
        <f>D617*(Model!$B$5-C617)-Model!$B$7</f>
        <v/>
      </c>
    </row>
    <row r="618">
      <c r="A618" t="n">
        <v>617</v>
      </c>
      <c r="B618" s="4">
        <f>MAX(0,_xlfn.NORM.INV(RAND(),Model!$B$4,Model!$B$11))</f>
        <v/>
      </c>
      <c r="C618" s="12">
        <f>Model!$B$12+(Model!$B$13-Model!$B$12)*RAND()</f>
        <v/>
      </c>
      <c r="D618" s="4">
        <f>MIN(B618,Model!$B$8)</f>
        <v/>
      </c>
      <c r="E618" s="6">
        <f>D618*(Model!$B$5-C618)-Model!$B$7</f>
        <v/>
      </c>
    </row>
    <row r="619">
      <c r="A619" t="n">
        <v>618</v>
      </c>
      <c r="B619" s="4">
        <f>MAX(0,_xlfn.NORM.INV(RAND(),Model!$B$4,Model!$B$11))</f>
        <v/>
      </c>
      <c r="C619" s="12">
        <f>Model!$B$12+(Model!$B$13-Model!$B$12)*RAND()</f>
        <v/>
      </c>
      <c r="D619" s="4">
        <f>MIN(B619,Model!$B$8)</f>
        <v/>
      </c>
      <c r="E619" s="6">
        <f>D619*(Model!$B$5-C619)-Model!$B$7</f>
        <v/>
      </c>
    </row>
    <row r="620">
      <c r="A620" t="n">
        <v>619</v>
      </c>
      <c r="B620" s="4">
        <f>MAX(0,_xlfn.NORM.INV(RAND(),Model!$B$4,Model!$B$11))</f>
        <v/>
      </c>
      <c r="C620" s="12">
        <f>Model!$B$12+(Model!$B$13-Model!$B$12)*RAND()</f>
        <v/>
      </c>
      <c r="D620" s="4">
        <f>MIN(B620,Model!$B$8)</f>
        <v/>
      </c>
      <c r="E620" s="6">
        <f>D620*(Model!$B$5-C620)-Model!$B$7</f>
        <v/>
      </c>
    </row>
    <row r="621">
      <c r="A621" t="n">
        <v>620</v>
      </c>
      <c r="B621" s="4">
        <f>MAX(0,_xlfn.NORM.INV(RAND(),Model!$B$4,Model!$B$11))</f>
        <v/>
      </c>
      <c r="C621" s="12">
        <f>Model!$B$12+(Model!$B$13-Model!$B$12)*RAND()</f>
        <v/>
      </c>
      <c r="D621" s="4">
        <f>MIN(B621,Model!$B$8)</f>
        <v/>
      </c>
      <c r="E621" s="6">
        <f>D621*(Model!$B$5-C621)-Model!$B$7</f>
        <v/>
      </c>
    </row>
    <row r="622">
      <c r="A622" t="n">
        <v>621</v>
      </c>
      <c r="B622" s="4">
        <f>MAX(0,_xlfn.NORM.INV(RAND(),Model!$B$4,Model!$B$11))</f>
        <v/>
      </c>
      <c r="C622" s="12">
        <f>Model!$B$12+(Model!$B$13-Model!$B$12)*RAND()</f>
        <v/>
      </c>
      <c r="D622" s="4">
        <f>MIN(B622,Model!$B$8)</f>
        <v/>
      </c>
      <c r="E622" s="6">
        <f>D622*(Model!$B$5-C622)-Model!$B$7</f>
        <v/>
      </c>
    </row>
    <row r="623">
      <c r="A623" t="n">
        <v>622</v>
      </c>
      <c r="B623" s="4">
        <f>MAX(0,_xlfn.NORM.INV(RAND(),Model!$B$4,Model!$B$11))</f>
        <v/>
      </c>
      <c r="C623" s="12">
        <f>Model!$B$12+(Model!$B$13-Model!$B$12)*RAND()</f>
        <v/>
      </c>
      <c r="D623" s="4">
        <f>MIN(B623,Model!$B$8)</f>
        <v/>
      </c>
      <c r="E623" s="6">
        <f>D623*(Model!$B$5-C623)-Model!$B$7</f>
        <v/>
      </c>
    </row>
    <row r="624">
      <c r="A624" t="n">
        <v>623</v>
      </c>
      <c r="B624" s="4">
        <f>MAX(0,_xlfn.NORM.INV(RAND(),Model!$B$4,Model!$B$11))</f>
        <v/>
      </c>
      <c r="C624" s="12">
        <f>Model!$B$12+(Model!$B$13-Model!$B$12)*RAND()</f>
        <v/>
      </c>
      <c r="D624" s="4">
        <f>MIN(B624,Model!$B$8)</f>
        <v/>
      </c>
      <c r="E624" s="6">
        <f>D624*(Model!$B$5-C624)-Model!$B$7</f>
        <v/>
      </c>
    </row>
    <row r="625">
      <c r="A625" t="n">
        <v>624</v>
      </c>
      <c r="B625" s="4">
        <f>MAX(0,_xlfn.NORM.INV(RAND(),Model!$B$4,Model!$B$11))</f>
        <v/>
      </c>
      <c r="C625" s="12">
        <f>Model!$B$12+(Model!$B$13-Model!$B$12)*RAND()</f>
        <v/>
      </c>
      <c r="D625" s="4">
        <f>MIN(B625,Model!$B$8)</f>
        <v/>
      </c>
      <c r="E625" s="6">
        <f>D625*(Model!$B$5-C625)-Model!$B$7</f>
        <v/>
      </c>
    </row>
    <row r="626">
      <c r="A626" t="n">
        <v>625</v>
      </c>
      <c r="B626" s="4">
        <f>MAX(0,_xlfn.NORM.INV(RAND(),Model!$B$4,Model!$B$11))</f>
        <v/>
      </c>
      <c r="C626" s="12">
        <f>Model!$B$12+(Model!$B$13-Model!$B$12)*RAND()</f>
        <v/>
      </c>
      <c r="D626" s="4">
        <f>MIN(B626,Model!$B$8)</f>
        <v/>
      </c>
      <c r="E626" s="6">
        <f>D626*(Model!$B$5-C626)-Model!$B$7</f>
        <v/>
      </c>
    </row>
    <row r="627">
      <c r="A627" t="n">
        <v>626</v>
      </c>
      <c r="B627" s="4">
        <f>MAX(0,_xlfn.NORM.INV(RAND(),Model!$B$4,Model!$B$11))</f>
        <v/>
      </c>
      <c r="C627" s="12">
        <f>Model!$B$12+(Model!$B$13-Model!$B$12)*RAND()</f>
        <v/>
      </c>
      <c r="D627" s="4">
        <f>MIN(B627,Model!$B$8)</f>
        <v/>
      </c>
      <c r="E627" s="6">
        <f>D627*(Model!$B$5-C627)-Model!$B$7</f>
        <v/>
      </c>
    </row>
    <row r="628">
      <c r="A628" t="n">
        <v>627</v>
      </c>
      <c r="B628" s="4">
        <f>MAX(0,_xlfn.NORM.INV(RAND(),Model!$B$4,Model!$B$11))</f>
        <v/>
      </c>
      <c r="C628" s="12">
        <f>Model!$B$12+(Model!$B$13-Model!$B$12)*RAND()</f>
        <v/>
      </c>
      <c r="D628" s="4">
        <f>MIN(B628,Model!$B$8)</f>
        <v/>
      </c>
      <c r="E628" s="6">
        <f>D628*(Model!$B$5-C628)-Model!$B$7</f>
        <v/>
      </c>
    </row>
    <row r="629">
      <c r="A629" t="n">
        <v>628</v>
      </c>
      <c r="B629" s="4">
        <f>MAX(0,_xlfn.NORM.INV(RAND(),Model!$B$4,Model!$B$11))</f>
        <v/>
      </c>
      <c r="C629" s="12">
        <f>Model!$B$12+(Model!$B$13-Model!$B$12)*RAND()</f>
        <v/>
      </c>
      <c r="D629" s="4">
        <f>MIN(B629,Model!$B$8)</f>
        <v/>
      </c>
      <c r="E629" s="6">
        <f>D629*(Model!$B$5-C629)-Model!$B$7</f>
        <v/>
      </c>
    </row>
    <row r="630">
      <c r="A630" t="n">
        <v>629</v>
      </c>
      <c r="B630" s="4">
        <f>MAX(0,_xlfn.NORM.INV(RAND(),Model!$B$4,Model!$B$11))</f>
        <v/>
      </c>
      <c r="C630" s="12">
        <f>Model!$B$12+(Model!$B$13-Model!$B$12)*RAND()</f>
        <v/>
      </c>
      <c r="D630" s="4">
        <f>MIN(B630,Model!$B$8)</f>
        <v/>
      </c>
      <c r="E630" s="6">
        <f>D630*(Model!$B$5-C630)-Model!$B$7</f>
        <v/>
      </c>
    </row>
    <row r="631">
      <c r="A631" t="n">
        <v>630</v>
      </c>
      <c r="B631" s="4">
        <f>MAX(0,_xlfn.NORM.INV(RAND(),Model!$B$4,Model!$B$11))</f>
        <v/>
      </c>
      <c r="C631" s="12">
        <f>Model!$B$12+(Model!$B$13-Model!$B$12)*RAND()</f>
        <v/>
      </c>
      <c r="D631" s="4">
        <f>MIN(B631,Model!$B$8)</f>
        <v/>
      </c>
      <c r="E631" s="6">
        <f>D631*(Model!$B$5-C631)-Model!$B$7</f>
        <v/>
      </c>
    </row>
    <row r="632">
      <c r="A632" t="n">
        <v>631</v>
      </c>
      <c r="B632" s="4">
        <f>MAX(0,_xlfn.NORM.INV(RAND(),Model!$B$4,Model!$B$11))</f>
        <v/>
      </c>
      <c r="C632" s="12">
        <f>Model!$B$12+(Model!$B$13-Model!$B$12)*RAND()</f>
        <v/>
      </c>
      <c r="D632" s="4">
        <f>MIN(B632,Model!$B$8)</f>
        <v/>
      </c>
      <c r="E632" s="6">
        <f>D632*(Model!$B$5-C632)-Model!$B$7</f>
        <v/>
      </c>
    </row>
    <row r="633">
      <c r="A633" t="n">
        <v>632</v>
      </c>
      <c r="B633" s="4">
        <f>MAX(0,_xlfn.NORM.INV(RAND(),Model!$B$4,Model!$B$11))</f>
        <v/>
      </c>
      <c r="C633" s="12">
        <f>Model!$B$12+(Model!$B$13-Model!$B$12)*RAND()</f>
        <v/>
      </c>
      <c r="D633" s="4">
        <f>MIN(B633,Model!$B$8)</f>
        <v/>
      </c>
      <c r="E633" s="6">
        <f>D633*(Model!$B$5-C633)-Model!$B$7</f>
        <v/>
      </c>
    </row>
    <row r="634">
      <c r="A634" t="n">
        <v>633</v>
      </c>
      <c r="B634" s="4">
        <f>MAX(0,_xlfn.NORM.INV(RAND(),Model!$B$4,Model!$B$11))</f>
        <v/>
      </c>
      <c r="C634" s="12">
        <f>Model!$B$12+(Model!$B$13-Model!$B$12)*RAND()</f>
        <v/>
      </c>
      <c r="D634" s="4">
        <f>MIN(B634,Model!$B$8)</f>
        <v/>
      </c>
      <c r="E634" s="6">
        <f>D634*(Model!$B$5-C634)-Model!$B$7</f>
        <v/>
      </c>
    </row>
    <row r="635">
      <c r="A635" t="n">
        <v>634</v>
      </c>
      <c r="B635" s="4">
        <f>MAX(0,_xlfn.NORM.INV(RAND(),Model!$B$4,Model!$B$11))</f>
        <v/>
      </c>
      <c r="C635" s="12">
        <f>Model!$B$12+(Model!$B$13-Model!$B$12)*RAND()</f>
        <v/>
      </c>
      <c r="D635" s="4">
        <f>MIN(B635,Model!$B$8)</f>
        <v/>
      </c>
      <c r="E635" s="6">
        <f>D635*(Model!$B$5-C635)-Model!$B$7</f>
        <v/>
      </c>
    </row>
    <row r="636">
      <c r="A636" t="n">
        <v>635</v>
      </c>
      <c r="B636" s="4">
        <f>MAX(0,_xlfn.NORM.INV(RAND(),Model!$B$4,Model!$B$11))</f>
        <v/>
      </c>
      <c r="C636" s="12">
        <f>Model!$B$12+(Model!$B$13-Model!$B$12)*RAND()</f>
        <v/>
      </c>
      <c r="D636" s="4">
        <f>MIN(B636,Model!$B$8)</f>
        <v/>
      </c>
      <c r="E636" s="6">
        <f>D636*(Model!$B$5-C636)-Model!$B$7</f>
        <v/>
      </c>
    </row>
    <row r="637">
      <c r="A637" t="n">
        <v>636</v>
      </c>
      <c r="B637" s="4">
        <f>MAX(0,_xlfn.NORM.INV(RAND(),Model!$B$4,Model!$B$11))</f>
        <v/>
      </c>
      <c r="C637" s="12">
        <f>Model!$B$12+(Model!$B$13-Model!$B$12)*RAND()</f>
        <v/>
      </c>
      <c r="D637" s="4">
        <f>MIN(B637,Model!$B$8)</f>
        <v/>
      </c>
      <c r="E637" s="6">
        <f>D637*(Model!$B$5-C637)-Model!$B$7</f>
        <v/>
      </c>
    </row>
    <row r="638">
      <c r="A638" t="n">
        <v>637</v>
      </c>
      <c r="B638" s="4">
        <f>MAX(0,_xlfn.NORM.INV(RAND(),Model!$B$4,Model!$B$11))</f>
        <v/>
      </c>
      <c r="C638" s="12">
        <f>Model!$B$12+(Model!$B$13-Model!$B$12)*RAND()</f>
        <v/>
      </c>
      <c r="D638" s="4">
        <f>MIN(B638,Model!$B$8)</f>
        <v/>
      </c>
      <c r="E638" s="6">
        <f>D638*(Model!$B$5-C638)-Model!$B$7</f>
        <v/>
      </c>
    </row>
    <row r="639">
      <c r="A639" t="n">
        <v>638</v>
      </c>
      <c r="B639" s="4">
        <f>MAX(0,_xlfn.NORM.INV(RAND(),Model!$B$4,Model!$B$11))</f>
        <v/>
      </c>
      <c r="C639" s="12">
        <f>Model!$B$12+(Model!$B$13-Model!$B$12)*RAND()</f>
        <v/>
      </c>
      <c r="D639" s="4">
        <f>MIN(B639,Model!$B$8)</f>
        <v/>
      </c>
      <c r="E639" s="6">
        <f>D639*(Model!$B$5-C639)-Model!$B$7</f>
        <v/>
      </c>
    </row>
    <row r="640">
      <c r="A640" t="n">
        <v>639</v>
      </c>
      <c r="B640" s="4">
        <f>MAX(0,_xlfn.NORM.INV(RAND(),Model!$B$4,Model!$B$11))</f>
        <v/>
      </c>
      <c r="C640" s="12">
        <f>Model!$B$12+(Model!$B$13-Model!$B$12)*RAND()</f>
        <v/>
      </c>
      <c r="D640" s="4">
        <f>MIN(B640,Model!$B$8)</f>
        <v/>
      </c>
      <c r="E640" s="6">
        <f>D640*(Model!$B$5-C640)-Model!$B$7</f>
        <v/>
      </c>
    </row>
    <row r="641">
      <c r="A641" t="n">
        <v>640</v>
      </c>
      <c r="B641" s="4">
        <f>MAX(0,_xlfn.NORM.INV(RAND(),Model!$B$4,Model!$B$11))</f>
        <v/>
      </c>
      <c r="C641" s="12">
        <f>Model!$B$12+(Model!$B$13-Model!$B$12)*RAND()</f>
        <v/>
      </c>
      <c r="D641" s="4">
        <f>MIN(B641,Model!$B$8)</f>
        <v/>
      </c>
      <c r="E641" s="6">
        <f>D641*(Model!$B$5-C641)-Model!$B$7</f>
        <v/>
      </c>
    </row>
    <row r="642">
      <c r="A642" t="n">
        <v>641</v>
      </c>
      <c r="B642" s="4">
        <f>MAX(0,_xlfn.NORM.INV(RAND(),Model!$B$4,Model!$B$11))</f>
        <v/>
      </c>
      <c r="C642" s="12">
        <f>Model!$B$12+(Model!$B$13-Model!$B$12)*RAND()</f>
        <v/>
      </c>
      <c r="D642" s="4">
        <f>MIN(B642,Model!$B$8)</f>
        <v/>
      </c>
      <c r="E642" s="6">
        <f>D642*(Model!$B$5-C642)-Model!$B$7</f>
        <v/>
      </c>
    </row>
    <row r="643">
      <c r="A643" t="n">
        <v>642</v>
      </c>
      <c r="B643" s="4">
        <f>MAX(0,_xlfn.NORM.INV(RAND(),Model!$B$4,Model!$B$11))</f>
        <v/>
      </c>
      <c r="C643" s="12">
        <f>Model!$B$12+(Model!$B$13-Model!$B$12)*RAND()</f>
        <v/>
      </c>
      <c r="D643" s="4">
        <f>MIN(B643,Model!$B$8)</f>
        <v/>
      </c>
      <c r="E643" s="6">
        <f>D643*(Model!$B$5-C643)-Model!$B$7</f>
        <v/>
      </c>
    </row>
    <row r="644">
      <c r="A644" t="n">
        <v>643</v>
      </c>
      <c r="B644" s="4">
        <f>MAX(0,_xlfn.NORM.INV(RAND(),Model!$B$4,Model!$B$11))</f>
        <v/>
      </c>
      <c r="C644" s="12">
        <f>Model!$B$12+(Model!$B$13-Model!$B$12)*RAND()</f>
        <v/>
      </c>
      <c r="D644" s="4">
        <f>MIN(B644,Model!$B$8)</f>
        <v/>
      </c>
      <c r="E644" s="6">
        <f>D644*(Model!$B$5-C644)-Model!$B$7</f>
        <v/>
      </c>
    </row>
    <row r="645">
      <c r="A645" t="n">
        <v>644</v>
      </c>
      <c r="B645" s="4">
        <f>MAX(0,_xlfn.NORM.INV(RAND(),Model!$B$4,Model!$B$11))</f>
        <v/>
      </c>
      <c r="C645" s="12">
        <f>Model!$B$12+(Model!$B$13-Model!$B$12)*RAND()</f>
        <v/>
      </c>
      <c r="D645" s="4">
        <f>MIN(B645,Model!$B$8)</f>
        <v/>
      </c>
      <c r="E645" s="6">
        <f>D645*(Model!$B$5-C645)-Model!$B$7</f>
        <v/>
      </c>
    </row>
    <row r="646">
      <c r="A646" t="n">
        <v>645</v>
      </c>
      <c r="B646" s="4">
        <f>MAX(0,_xlfn.NORM.INV(RAND(),Model!$B$4,Model!$B$11))</f>
        <v/>
      </c>
      <c r="C646" s="12">
        <f>Model!$B$12+(Model!$B$13-Model!$B$12)*RAND()</f>
        <v/>
      </c>
      <c r="D646" s="4">
        <f>MIN(B646,Model!$B$8)</f>
        <v/>
      </c>
      <c r="E646" s="6">
        <f>D646*(Model!$B$5-C646)-Model!$B$7</f>
        <v/>
      </c>
    </row>
    <row r="647">
      <c r="A647" t="n">
        <v>646</v>
      </c>
      <c r="B647" s="4">
        <f>MAX(0,_xlfn.NORM.INV(RAND(),Model!$B$4,Model!$B$11))</f>
        <v/>
      </c>
      <c r="C647" s="12">
        <f>Model!$B$12+(Model!$B$13-Model!$B$12)*RAND()</f>
        <v/>
      </c>
      <c r="D647" s="4">
        <f>MIN(B647,Model!$B$8)</f>
        <v/>
      </c>
      <c r="E647" s="6">
        <f>D647*(Model!$B$5-C647)-Model!$B$7</f>
        <v/>
      </c>
    </row>
    <row r="648">
      <c r="A648" t="n">
        <v>647</v>
      </c>
      <c r="B648" s="4">
        <f>MAX(0,_xlfn.NORM.INV(RAND(),Model!$B$4,Model!$B$11))</f>
        <v/>
      </c>
      <c r="C648" s="12">
        <f>Model!$B$12+(Model!$B$13-Model!$B$12)*RAND()</f>
        <v/>
      </c>
      <c r="D648" s="4">
        <f>MIN(B648,Model!$B$8)</f>
        <v/>
      </c>
      <c r="E648" s="6">
        <f>D648*(Model!$B$5-C648)-Model!$B$7</f>
        <v/>
      </c>
    </row>
    <row r="649">
      <c r="A649" t="n">
        <v>648</v>
      </c>
      <c r="B649" s="4">
        <f>MAX(0,_xlfn.NORM.INV(RAND(),Model!$B$4,Model!$B$11))</f>
        <v/>
      </c>
      <c r="C649" s="12">
        <f>Model!$B$12+(Model!$B$13-Model!$B$12)*RAND()</f>
        <v/>
      </c>
      <c r="D649" s="4">
        <f>MIN(B649,Model!$B$8)</f>
        <v/>
      </c>
      <c r="E649" s="6">
        <f>D649*(Model!$B$5-C649)-Model!$B$7</f>
        <v/>
      </c>
    </row>
    <row r="650">
      <c r="A650" t="n">
        <v>649</v>
      </c>
      <c r="B650" s="4">
        <f>MAX(0,_xlfn.NORM.INV(RAND(),Model!$B$4,Model!$B$11))</f>
        <v/>
      </c>
      <c r="C650" s="12">
        <f>Model!$B$12+(Model!$B$13-Model!$B$12)*RAND()</f>
        <v/>
      </c>
      <c r="D650" s="4">
        <f>MIN(B650,Model!$B$8)</f>
        <v/>
      </c>
      <c r="E650" s="6">
        <f>D650*(Model!$B$5-C650)-Model!$B$7</f>
        <v/>
      </c>
    </row>
    <row r="651">
      <c r="A651" t="n">
        <v>650</v>
      </c>
      <c r="B651" s="4">
        <f>MAX(0,_xlfn.NORM.INV(RAND(),Model!$B$4,Model!$B$11))</f>
        <v/>
      </c>
      <c r="C651" s="12">
        <f>Model!$B$12+(Model!$B$13-Model!$B$12)*RAND()</f>
        <v/>
      </c>
      <c r="D651" s="4">
        <f>MIN(B651,Model!$B$8)</f>
        <v/>
      </c>
      <c r="E651" s="6">
        <f>D651*(Model!$B$5-C651)-Model!$B$7</f>
        <v/>
      </c>
    </row>
    <row r="652">
      <c r="A652" t="n">
        <v>651</v>
      </c>
      <c r="B652" s="4">
        <f>MAX(0,_xlfn.NORM.INV(RAND(),Model!$B$4,Model!$B$11))</f>
        <v/>
      </c>
      <c r="C652" s="12">
        <f>Model!$B$12+(Model!$B$13-Model!$B$12)*RAND()</f>
        <v/>
      </c>
      <c r="D652" s="4">
        <f>MIN(B652,Model!$B$8)</f>
        <v/>
      </c>
      <c r="E652" s="6">
        <f>D652*(Model!$B$5-C652)-Model!$B$7</f>
        <v/>
      </c>
    </row>
    <row r="653">
      <c r="A653" t="n">
        <v>652</v>
      </c>
      <c r="B653" s="4">
        <f>MAX(0,_xlfn.NORM.INV(RAND(),Model!$B$4,Model!$B$11))</f>
        <v/>
      </c>
      <c r="C653" s="12">
        <f>Model!$B$12+(Model!$B$13-Model!$B$12)*RAND()</f>
        <v/>
      </c>
      <c r="D653" s="4">
        <f>MIN(B653,Model!$B$8)</f>
        <v/>
      </c>
      <c r="E653" s="6">
        <f>D653*(Model!$B$5-C653)-Model!$B$7</f>
        <v/>
      </c>
    </row>
    <row r="654">
      <c r="A654" t="n">
        <v>653</v>
      </c>
      <c r="B654" s="4">
        <f>MAX(0,_xlfn.NORM.INV(RAND(),Model!$B$4,Model!$B$11))</f>
        <v/>
      </c>
      <c r="C654" s="12">
        <f>Model!$B$12+(Model!$B$13-Model!$B$12)*RAND()</f>
        <v/>
      </c>
      <c r="D654" s="4">
        <f>MIN(B654,Model!$B$8)</f>
        <v/>
      </c>
      <c r="E654" s="6">
        <f>D654*(Model!$B$5-C654)-Model!$B$7</f>
        <v/>
      </c>
    </row>
    <row r="655">
      <c r="A655" t="n">
        <v>654</v>
      </c>
      <c r="B655" s="4">
        <f>MAX(0,_xlfn.NORM.INV(RAND(),Model!$B$4,Model!$B$11))</f>
        <v/>
      </c>
      <c r="C655" s="12">
        <f>Model!$B$12+(Model!$B$13-Model!$B$12)*RAND()</f>
        <v/>
      </c>
      <c r="D655" s="4">
        <f>MIN(B655,Model!$B$8)</f>
        <v/>
      </c>
      <c r="E655" s="6">
        <f>D655*(Model!$B$5-C655)-Model!$B$7</f>
        <v/>
      </c>
    </row>
    <row r="656">
      <c r="A656" t="n">
        <v>655</v>
      </c>
      <c r="B656" s="4">
        <f>MAX(0,_xlfn.NORM.INV(RAND(),Model!$B$4,Model!$B$11))</f>
        <v/>
      </c>
      <c r="C656" s="12">
        <f>Model!$B$12+(Model!$B$13-Model!$B$12)*RAND()</f>
        <v/>
      </c>
      <c r="D656" s="4">
        <f>MIN(B656,Model!$B$8)</f>
        <v/>
      </c>
      <c r="E656" s="6">
        <f>D656*(Model!$B$5-C656)-Model!$B$7</f>
        <v/>
      </c>
    </row>
    <row r="657">
      <c r="A657" t="n">
        <v>656</v>
      </c>
      <c r="B657" s="4">
        <f>MAX(0,_xlfn.NORM.INV(RAND(),Model!$B$4,Model!$B$11))</f>
        <v/>
      </c>
      <c r="C657" s="12">
        <f>Model!$B$12+(Model!$B$13-Model!$B$12)*RAND()</f>
        <v/>
      </c>
      <c r="D657" s="4">
        <f>MIN(B657,Model!$B$8)</f>
        <v/>
      </c>
      <c r="E657" s="6">
        <f>D657*(Model!$B$5-C657)-Model!$B$7</f>
        <v/>
      </c>
    </row>
    <row r="658">
      <c r="A658" t="n">
        <v>657</v>
      </c>
      <c r="B658" s="4">
        <f>MAX(0,_xlfn.NORM.INV(RAND(),Model!$B$4,Model!$B$11))</f>
        <v/>
      </c>
      <c r="C658" s="12">
        <f>Model!$B$12+(Model!$B$13-Model!$B$12)*RAND()</f>
        <v/>
      </c>
      <c r="D658" s="4">
        <f>MIN(B658,Model!$B$8)</f>
        <v/>
      </c>
      <c r="E658" s="6">
        <f>D658*(Model!$B$5-C658)-Model!$B$7</f>
        <v/>
      </c>
    </row>
    <row r="659">
      <c r="A659" t="n">
        <v>658</v>
      </c>
      <c r="B659" s="4">
        <f>MAX(0,_xlfn.NORM.INV(RAND(),Model!$B$4,Model!$B$11))</f>
        <v/>
      </c>
      <c r="C659" s="12">
        <f>Model!$B$12+(Model!$B$13-Model!$B$12)*RAND()</f>
        <v/>
      </c>
      <c r="D659" s="4">
        <f>MIN(B659,Model!$B$8)</f>
        <v/>
      </c>
      <c r="E659" s="6">
        <f>D659*(Model!$B$5-C659)-Model!$B$7</f>
        <v/>
      </c>
    </row>
    <row r="660">
      <c r="A660" t="n">
        <v>659</v>
      </c>
      <c r="B660" s="4">
        <f>MAX(0,_xlfn.NORM.INV(RAND(),Model!$B$4,Model!$B$11))</f>
        <v/>
      </c>
      <c r="C660" s="12">
        <f>Model!$B$12+(Model!$B$13-Model!$B$12)*RAND()</f>
        <v/>
      </c>
      <c r="D660" s="4">
        <f>MIN(B660,Model!$B$8)</f>
        <v/>
      </c>
      <c r="E660" s="6">
        <f>D660*(Model!$B$5-C660)-Model!$B$7</f>
        <v/>
      </c>
    </row>
    <row r="661">
      <c r="A661" t="n">
        <v>660</v>
      </c>
      <c r="B661" s="4">
        <f>MAX(0,_xlfn.NORM.INV(RAND(),Model!$B$4,Model!$B$11))</f>
        <v/>
      </c>
      <c r="C661" s="12">
        <f>Model!$B$12+(Model!$B$13-Model!$B$12)*RAND()</f>
        <v/>
      </c>
      <c r="D661" s="4">
        <f>MIN(B661,Model!$B$8)</f>
        <v/>
      </c>
      <c r="E661" s="6">
        <f>D661*(Model!$B$5-C661)-Model!$B$7</f>
        <v/>
      </c>
    </row>
    <row r="662">
      <c r="A662" t="n">
        <v>661</v>
      </c>
      <c r="B662" s="4">
        <f>MAX(0,_xlfn.NORM.INV(RAND(),Model!$B$4,Model!$B$11))</f>
        <v/>
      </c>
      <c r="C662" s="12">
        <f>Model!$B$12+(Model!$B$13-Model!$B$12)*RAND()</f>
        <v/>
      </c>
      <c r="D662" s="4">
        <f>MIN(B662,Model!$B$8)</f>
        <v/>
      </c>
      <c r="E662" s="6">
        <f>D662*(Model!$B$5-C662)-Model!$B$7</f>
        <v/>
      </c>
    </row>
    <row r="663">
      <c r="A663" t="n">
        <v>662</v>
      </c>
      <c r="B663" s="4">
        <f>MAX(0,_xlfn.NORM.INV(RAND(),Model!$B$4,Model!$B$11))</f>
        <v/>
      </c>
      <c r="C663" s="12">
        <f>Model!$B$12+(Model!$B$13-Model!$B$12)*RAND()</f>
        <v/>
      </c>
      <c r="D663" s="4">
        <f>MIN(B663,Model!$B$8)</f>
        <v/>
      </c>
      <c r="E663" s="6">
        <f>D663*(Model!$B$5-C663)-Model!$B$7</f>
        <v/>
      </c>
    </row>
    <row r="664">
      <c r="A664" t="n">
        <v>663</v>
      </c>
      <c r="B664" s="4">
        <f>MAX(0,_xlfn.NORM.INV(RAND(),Model!$B$4,Model!$B$11))</f>
        <v/>
      </c>
      <c r="C664" s="12">
        <f>Model!$B$12+(Model!$B$13-Model!$B$12)*RAND()</f>
        <v/>
      </c>
      <c r="D664" s="4">
        <f>MIN(B664,Model!$B$8)</f>
        <v/>
      </c>
      <c r="E664" s="6">
        <f>D664*(Model!$B$5-C664)-Model!$B$7</f>
        <v/>
      </c>
    </row>
    <row r="665">
      <c r="A665" t="n">
        <v>664</v>
      </c>
      <c r="B665" s="4">
        <f>MAX(0,_xlfn.NORM.INV(RAND(),Model!$B$4,Model!$B$11))</f>
        <v/>
      </c>
      <c r="C665" s="12">
        <f>Model!$B$12+(Model!$B$13-Model!$B$12)*RAND()</f>
        <v/>
      </c>
      <c r="D665" s="4">
        <f>MIN(B665,Model!$B$8)</f>
        <v/>
      </c>
      <c r="E665" s="6">
        <f>D665*(Model!$B$5-C665)-Model!$B$7</f>
        <v/>
      </c>
    </row>
    <row r="666">
      <c r="A666" t="n">
        <v>665</v>
      </c>
      <c r="B666" s="4">
        <f>MAX(0,_xlfn.NORM.INV(RAND(),Model!$B$4,Model!$B$11))</f>
        <v/>
      </c>
      <c r="C666" s="12">
        <f>Model!$B$12+(Model!$B$13-Model!$B$12)*RAND()</f>
        <v/>
      </c>
      <c r="D666" s="4">
        <f>MIN(B666,Model!$B$8)</f>
        <v/>
      </c>
      <c r="E666" s="6">
        <f>D666*(Model!$B$5-C666)-Model!$B$7</f>
        <v/>
      </c>
    </row>
    <row r="667">
      <c r="A667" t="n">
        <v>666</v>
      </c>
      <c r="B667" s="4">
        <f>MAX(0,_xlfn.NORM.INV(RAND(),Model!$B$4,Model!$B$11))</f>
        <v/>
      </c>
      <c r="C667" s="12">
        <f>Model!$B$12+(Model!$B$13-Model!$B$12)*RAND()</f>
        <v/>
      </c>
      <c r="D667" s="4">
        <f>MIN(B667,Model!$B$8)</f>
        <v/>
      </c>
      <c r="E667" s="6">
        <f>D667*(Model!$B$5-C667)-Model!$B$7</f>
        <v/>
      </c>
    </row>
    <row r="668">
      <c r="A668" t="n">
        <v>667</v>
      </c>
      <c r="B668" s="4">
        <f>MAX(0,_xlfn.NORM.INV(RAND(),Model!$B$4,Model!$B$11))</f>
        <v/>
      </c>
      <c r="C668" s="12">
        <f>Model!$B$12+(Model!$B$13-Model!$B$12)*RAND()</f>
        <v/>
      </c>
      <c r="D668" s="4">
        <f>MIN(B668,Model!$B$8)</f>
        <v/>
      </c>
      <c r="E668" s="6">
        <f>D668*(Model!$B$5-C668)-Model!$B$7</f>
        <v/>
      </c>
    </row>
    <row r="669">
      <c r="A669" t="n">
        <v>668</v>
      </c>
      <c r="B669" s="4">
        <f>MAX(0,_xlfn.NORM.INV(RAND(),Model!$B$4,Model!$B$11))</f>
        <v/>
      </c>
      <c r="C669" s="12">
        <f>Model!$B$12+(Model!$B$13-Model!$B$12)*RAND()</f>
        <v/>
      </c>
      <c r="D669" s="4">
        <f>MIN(B669,Model!$B$8)</f>
        <v/>
      </c>
      <c r="E669" s="6">
        <f>D669*(Model!$B$5-C669)-Model!$B$7</f>
        <v/>
      </c>
    </row>
    <row r="670">
      <c r="A670" t="n">
        <v>669</v>
      </c>
      <c r="B670" s="4">
        <f>MAX(0,_xlfn.NORM.INV(RAND(),Model!$B$4,Model!$B$11))</f>
        <v/>
      </c>
      <c r="C670" s="12">
        <f>Model!$B$12+(Model!$B$13-Model!$B$12)*RAND()</f>
        <v/>
      </c>
      <c r="D670" s="4">
        <f>MIN(B670,Model!$B$8)</f>
        <v/>
      </c>
      <c r="E670" s="6">
        <f>D670*(Model!$B$5-C670)-Model!$B$7</f>
        <v/>
      </c>
    </row>
    <row r="671">
      <c r="A671" t="n">
        <v>670</v>
      </c>
      <c r="B671" s="4">
        <f>MAX(0,_xlfn.NORM.INV(RAND(),Model!$B$4,Model!$B$11))</f>
        <v/>
      </c>
      <c r="C671" s="12">
        <f>Model!$B$12+(Model!$B$13-Model!$B$12)*RAND()</f>
        <v/>
      </c>
      <c r="D671" s="4">
        <f>MIN(B671,Model!$B$8)</f>
        <v/>
      </c>
      <c r="E671" s="6">
        <f>D671*(Model!$B$5-C671)-Model!$B$7</f>
        <v/>
      </c>
    </row>
    <row r="672">
      <c r="A672" t="n">
        <v>671</v>
      </c>
      <c r="B672" s="4">
        <f>MAX(0,_xlfn.NORM.INV(RAND(),Model!$B$4,Model!$B$11))</f>
        <v/>
      </c>
      <c r="C672" s="12">
        <f>Model!$B$12+(Model!$B$13-Model!$B$12)*RAND()</f>
        <v/>
      </c>
      <c r="D672" s="4">
        <f>MIN(B672,Model!$B$8)</f>
        <v/>
      </c>
      <c r="E672" s="6">
        <f>D672*(Model!$B$5-C672)-Model!$B$7</f>
        <v/>
      </c>
    </row>
    <row r="673">
      <c r="A673" t="n">
        <v>672</v>
      </c>
      <c r="B673" s="4">
        <f>MAX(0,_xlfn.NORM.INV(RAND(),Model!$B$4,Model!$B$11))</f>
        <v/>
      </c>
      <c r="C673" s="12">
        <f>Model!$B$12+(Model!$B$13-Model!$B$12)*RAND()</f>
        <v/>
      </c>
      <c r="D673" s="4">
        <f>MIN(B673,Model!$B$8)</f>
        <v/>
      </c>
      <c r="E673" s="6">
        <f>D673*(Model!$B$5-C673)-Model!$B$7</f>
        <v/>
      </c>
    </row>
    <row r="674">
      <c r="A674" t="n">
        <v>673</v>
      </c>
      <c r="B674" s="4">
        <f>MAX(0,_xlfn.NORM.INV(RAND(),Model!$B$4,Model!$B$11))</f>
        <v/>
      </c>
      <c r="C674" s="12">
        <f>Model!$B$12+(Model!$B$13-Model!$B$12)*RAND()</f>
        <v/>
      </c>
      <c r="D674" s="4">
        <f>MIN(B674,Model!$B$8)</f>
        <v/>
      </c>
      <c r="E674" s="6">
        <f>D674*(Model!$B$5-C674)-Model!$B$7</f>
        <v/>
      </c>
    </row>
    <row r="675">
      <c r="A675" t="n">
        <v>674</v>
      </c>
      <c r="B675" s="4">
        <f>MAX(0,_xlfn.NORM.INV(RAND(),Model!$B$4,Model!$B$11))</f>
        <v/>
      </c>
      <c r="C675" s="12">
        <f>Model!$B$12+(Model!$B$13-Model!$B$12)*RAND()</f>
        <v/>
      </c>
      <c r="D675" s="4">
        <f>MIN(B675,Model!$B$8)</f>
        <v/>
      </c>
      <c r="E675" s="6">
        <f>D675*(Model!$B$5-C675)-Model!$B$7</f>
        <v/>
      </c>
    </row>
    <row r="676">
      <c r="A676" t="n">
        <v>675</v>
      </c>
      <c r="B676" s="4">
        <f>MAX(0,_xlfn.NORM.INV(RAND(),Model!$B$4,Model!$B$11))</f>
        <v/>
      </c>
      <c r="C676" s="12">
        <f>Model!$B$12+(Model!$B$13-Model!$B$12)*RAND()</f>
        <v/>
      </c>
      <c r="D676" s="4">
        <f>MIN(B676,Model!$B$8)</f>
        <v/>
      </c>
      <c r="E676" s="6">
        <f>D676*(Model!$B$5-C676)-Model!$B$7</f>
        <v/>
      </c>
    </row>
    <row r="677">
      <c r="A677" t="n">
        <v>676</v>
      </c>
      <c r="B677" s="4">
        <f>MAX(0,_xlfn.NORM.INV(RAND(),Model!$B$4,Model!$B$11))</f>
        <v/>
      </c>
      <c r="C677" s="12">
        <f>Model!$B$12+(Model!$B$13-Model!$B$12)*RAND()</f>
        <v/>
      </c>
      <c r="D677" s="4">
        <f>MIN(B677,Model!$B$8)</f>
        <v/>
      </c>
      <c r="E677" s="6">
        <f>D677*(Model!$B$5-C677)-Model!$B$7</f>
        <v/>
      </c>
    </row>
    <row r="678">
      <c r="A678" t="n">
        <v>677</v>
      </c>
      <c r="B678" s="4">
        <f>MAX(0,_xlfn.NORM.INV(RAND(),Model!$B$4,Model!$B$11))</f>
        <v/>
      </c>
      <c r="C678" s="12">
        <f>Model!$B$12+(Model!$B$13-Model!$B$12)*RAND()</f>
        <v/>
      </c>
      <c r="D678" s="4">
        <f>MIN(B678,Model!$B$8)</f>
        <v/>
      </c>
      <c r="E678" s="6">
        <f>D678*(Model!$B$5-C678)-Model!$B$7</f>
        <v/>
      </c>
    </row>
    <row r="679">
      <c r="A679" t="n">
        <v>678</v>
      </c>
      <c r="B679" s="4">
        <f>MAX(0,_xlfn.NORM.INV(RAND(),Model!$B$4,Model!$B$11))</f>
        <v/>
      </c>
      <c r="C679" s="12">
        <f>Model!$B$12+(Model!$B$13-Model!$B$12)*RAND()</f>
        <v/>
      </c>
      <c r="D679" s="4">
        <f>MIN(B679,Model!$B$8)</f>
        <v/>
      </c>
      <c r="E679" s="6">
        <f>D679*(Model!$B$5-C679)-Model!$B$7</f>
        <v/>
      </c>
    </row>
    <row r="680">
      <c r="A680" t="n">
        <v>679</v>
      </c>
      <c r="B680" s="4">
        <f>MAX(0,_xlfn.NORM.INV(RAND(),Model!$B$4,Model!$B$11))</f>
        <v/>
      </c>
      <c r="C680" s="12">
        <f>Model!$B$12+(Model!$B$13-Model!$B$12)*RAND()</f>
        <v/>
      </c>
      <c r="D680" s="4">
        <f>MIN(B680,Model!$B$8)</f>
        <v/>
      </c>
      <c r="E680" s="6">
        <f>D680*(Model!$B$5-C680)-Model!$B$7</f>
        <v/>
      </c>
    </row>
    <row r="681">
      <c r="A681" t="n">
        <v>680</v>
      </c>
      <c r="B681" s="4">
        <f>MAX(0,_xlfn.NORM.INV(RAND(),Model!$B$4,Model!$B$11))</f>
        <v/>
      </c>
      <c r="C681" s="12">
        <f>Model!$B$12+(Model!$B$13-Model!$B$12)*RAND()</f>
        <v/>
      </c>
      <c r="D681" s="4">
        <f>MIN(B681,Model!$B$8)</f>
        <v/>
      </c>
      <c r="E681" s="6">
        <f>D681*(Model!$B$5-C681)-Model!$B$7</f>
        <v/>
      </c>
    </row>
    <row r="682">
      <c r="A682" t="n">
        <v>681</v>
      </c>
      <c r="B682" s="4">
        <f>MAX(0,_xlfn.NORM.INV(RAND(),Model!$B$4,Model!$B$11))</f>
        <v/>
      </c>
      <c r="C682" s="12">
        <f>Model!$B$12+(Model!$B$13-Model!$B$12)*RAND()</f>
        <v/>
      </c>
      <c r="D682" s="4">
        <f>MIN(B682,Model!$B$8)</f>
        <v/>
      </c>
      <c r="E682" s="6">
        <f>D682*(Model!$B$5-C682)-Model!$B$7</f>
        <v/>
      </c>
    </row>
    <row r="683">
      <c r="A683" t="n">
        <v>682</v>
      </c>
      <c r="B683" s="4">
        <f>MAX(0,_xlfn.NORM.INV(RAND(),Model!$B$4,Model!$B$11))</f>
        <v/>
      </c>
      <c r="C683" s="12">
        <f>Model!$B$12+(Model!$B$13-Model!$B$12)*RAND()</f>
        <v/>
      </c>
      <c r="D683" s="4">
        <f>MIN(B683,Model!$B$8)</f>
        <v/>
      </c>
      <c r="E683" s="6">
        <f>D683*(Model!$B$5-C683)-Model!$B$7</f>
        <v/>
      </c>
    </row>
    <row r="684">
      <c r="A684" t="n">
        <v>683</v>
      </c>
      <c r="B684" s="4">
        <f>MAX(0,_xlfn.NORM.INV(RAND(),Model!$B$4,Model!$B$11))</f>
        <v/>
      </c>
      <c r="C684" s="12">
        <f>Model!$B$12+(Model!$B$13-Model!$B$12)*RAND()</f>
        <v/>
      </c>
      <c r="D684" s="4">
        <f>MIN(B684,Model!$B$8)</f>
        <v/>
      </c>
      <c r="E684" s="6">
        <f>D684*(Model!$B$5-C684)-Model!$B$7</f>
        <v/>
      </c>
    </row>
    <row r="685">
      <c r="A685" t="n">
        <v>684</v>
      </c>
      <c r="B685" s="4">
        <f>MAX(0,_xlfn.NORM.INV(RAND(),Model!$B$4,Model!$B$11))</f>
        <v/>
      </c>
      <c r="C685" s="12">
        <f>Model!$B$12+(Model!$B$13-Model!$B$12)*RAND()</f>
        <v/>
      </c>
      <c r="D685" s="4">
        <f>MIN(B685,Model!$B$8)</f>
        <v/>
      </c>
      <c r="E685" s="6">
        <f>D685*(Model!$B$5-C685)-Model!$B$7</f>
        <v/>
      </c>
    </row>
    <row r="686">
      <c r="A686" t="n">
        <v>685</v>
      </c>
      <c r="B686" s="4">
        <f>MAX(0,_xlfn.NORM.INV(RAND(),Model!$B$4,Model!$B$11))</f>
        <v/>
      </c>
      <c r="C686" s="12">
        <f>Model!$B$12+(Model!$B$13-Model!$B$12)*RAND()</f>
        <v/>
      </c>
      <c r="D686" s="4">
        <f>MIN(B686,Model!$B$8)</f>
        <v/>
      </c>
      <c r="E686" s="6">
        <f>D686*(Model!$B$5-C686)-Model!$B$7</f>
        <v/>
      </c>
    </row>
    <row r="687">
      <c r="A687" t="n">
        <v>686</v>
      </c>
      <c r="B687" s="4">
        <f>MAX(0,_xlfn.NORM.INV(RAND(),Model!$B$4,Model!$B$11))</f>
        <v/>
      </c>
      <c r="C687" s="12">
        <f>Model!$B$12+(Model!$B$13-Model!$B$12)*RAND()</f>
        <v/>
      </c>
      <c r="D687" s="4">
        <f>MIN(B687,Model!$B$8)</f>
        <v/>
      </c>
      <c r="E687" s="6">
        <f>D687*(Model!$B$5-C687)-Model!$B$7</f>
        <v/>
      </c>
    </row>
    <row r="688">
      <c r="A688" t="n">
        <v>687</v>
      </c>
      <c r="B688" s="4">
        <f>MAX(0,_xlfn.NORM.INV(RAND(),Model!$B$4,Model!$B$11))</f>
        <v/>
      </c>
      <c r="C688" s="12">
        <f>Model!$B$12+(Model!$B$13-Model!$B$12)*RAND()</f>
        <v/>
      </c>
      <c r="D688" s="4">
        <f>MIN(B688,Model!$B$8)</f>
        <v/>
      </c>
      <c r="E688" s="6">
        <f>D688*(Model!$B$5-C688)-Model!$B$7</f>
        <v/>
      </c>
    </row>
    <row r="689">
      <c r="A689" t="n">
        <v>688</v>
      </c>
      <c r="B689" s="4">
        <f>MAX(0,_xlfn.NORM.INV(RAND(),Model!$B$4,Model!$B$11))</f>
        <v/>
      </c>
      <c r="C689" s="12">
        <f>Model!$B$12+(Model!$B$13-Model!$B$12)*RAND()</f>
        <v/>
      </c>
      <c r="D689" s="4">
        <f>MIN(B689,Model!$B$8)</f>
        <v/>
      </c>
      <c r="E689" s="6">
        <f>D689*(Model!$B$5-C689)-Model!$B$7</f>
        <v/>
      </c>
    </row>
    <row r="690">
      <c r="A690" t="n">
        <v>689</v>
      </c>
      <c r="B690" s="4">
        <f>MAX(0,_xlfn.NORM.INV(RAND(),Model!$B$4,Model!$B$11))</f>
        <v/>
      </c>
      <c r="C690" s="12">
        <f>Model!$B$12+(Model!$B$13-Model!$B$12)*RAND()</f>
        <v/>
      </c>
      <c r="D690" s="4">
        <f>MIN(B690,Model!$B$8)</f>
        <v/>
      </c>
      <c r="E690" s="6">
        <f>D690*(Model!$B$5-C690)-Model!$B$7</f>
        <v/>
      </c>
    </row>
    <row r="691">
      <c r="A691" t="n">
        <v>690</v>
      </c>
      <c r="B691" s="4">
        <f>MAX(0,_xlfn.NORM.INV(RAND(),Model!$B$4,Model!$B$11))</f>
        <v/>
      </c>
      <c r="C691" s="12">
        <f>Model!$B$12+(Model!$B$13-Model!$B$12)*RAND()</f>
        <v/>
      </c>
      <c r="D691" s="4">
        <f>MIN(B691,Model!$B$8)</f>
        <v/>
      </c>
      <c r="E691" s="6">
        <f>D691*(Model!$B$5-C691)-Model!$B$7</f>
        <v/>
      </c>
    </row>
    <row r="692">
      <c r="A692" t="n">
        <v>691</v>
      </c>
      <c r="B692" s="4">
        <f>MAX(0,_xlfn.NORM.INV(RAND(),Model!$B$4,Model!$B$11))</f>
        <v/>
      </c>
      <c r="C692" s="12">
        <f>Model!$B$12+(Model!$B$13-Model!$B$12)*RAND()</f>
        <v/>
      </c>
      <c r="D692" s="4">
        <f>MIN(B692,Model!$B$8)</f>
        <v/>
      </c>
      <c r="E692" s="6">
        <f>D692*(Model!$B$5-C692)-Model!$B$7</f>
        <v/>
      </c>
    </row>
    <row r="693">
      <c r="A693" t="n">
        <v>692</v>
      </c>
      <c r="B693" s="4">
        <f>MAX(0,_xlfn.NORM.INV(RAND(),Model!$B$4,Model!$B$11))</f>
        <v/>
      </c>
      <c r="C693" s="12">
        <f>Model!$B$12+(Model!$B$13-Model!$B$12)*RAND()</f>
        <v/>
      </c>
      <c r="D693" s="4">
        <f>MIN(B693,Model!$B$8)</f>
        <v/>
      </c>
      <c r="E693" s="6">
        <f>D693*(Model!$B$5-C693)-Model!$B$7</f>
        <v/>
      </c>
    </row>
    <row r="694">
      <c r="A694" t="n">
        <v>693</v>
      </c>
      <c r="B694" s="4">
        <f>MAX(0,_xlfn.NORM.INV(RAND(),Model!$B$4,Model!$B$11))</f>
        <v/>
      </c>
      <c r="C694" s="12">
        <f>Model!$B$12+(Model!$B$13-Model!$B$12)*RAND()</f>
        <v/>
      </c>
      <c r="D694" s="4">
        <f>MIN(B694,Model!$B$8)</f>
        <v/>
      </c>
      <c r="E694" s="6">
        <f>D694*(Model!$B$5-C694)-Model!$B$7</f>
        <v/>
      </c>
    </row>
    <row r="695">
      <c r="A695" t="n">
        <v>694</v>
      </c>
      <c r="B695" s="4">
        <f>MAX(0,_xlfn.NORM.INV(RAND(),Model!$B$4,Model!$B$11))</f>
        <v/>
      </c>
      <c r="C695" s="12">
        <f>Model!$B$12+(Model!$B$13-Model!$B$12)*RAND()</f>
        <v/>
      </c>
      <c r="D695" s="4">
        <f>MIN(B695,Model!$B$8)</f>
        <v/>
      </c>
      <c r="E695" s="6">
        <f>D695*(Model!$B$5-C695)-Model!$B$7</f>
        <v/>
      </c>
    </row>
    <row r="696">
      <c r="A696" t="n">
        <v>695</v>
      </c>
      <c r="B696" s="4">
        <f>MAX(0,_xlfn.NORM.INV(RAND(),Model!$B$4,Model!$B$11))</f>
        <v/>
      </c>
      <c r="C696" s="12">
        <f>Model!$B$12+(Model!$B$13-Model!$B$12)*RAND()</f>
        <v/>
      </c>
      <c r="D696" s="4">
        <f>MIN(B696,Model!$B$8)</f>
        <v/>
      </c>
      <c r="E696" s="6">
        <f>D696*(Model!$B$5-C696)-Model!$B$7</f>
        <v/>
      </c>
    </row>
    <row r="697">
      <c r="A697" t="n">
        <v>696</v>
      </c>
      <c r="B697" s="4">
        <f>MAX(0,_xlfn.NORM.INV(RAND(),Model!$B$4,Model!$B$11))</f>
        <v/>
      </c>
      <c r="C697" s="12">
        <f>Model!$B$12+(Model!$B$13-Model!$B$12)*RAND()</f>
        <v/>
      </c>
      <c r="D697" s="4">
        <f>MIN(B697,Model!$B$8)</f>
        <v/>
      </c>
      <c r="E697" s="6">
        <f>D697*(Model!$B$5-C697)-Model!$B$7</f>
        <v/>
      </c>
    </row>
    <row r="698">
      <c r="A698" t="n">
        <v>697</v>
      </c>
      <c r="B698" s="4">
        <f>MAX(0,_xlfn.NORM.INV(RAND(),Model!$B$4,Model!$B$11))</f>
        <v/>
      </c>
      <c r="C698" s="12">
        <f>Model!$B$12+(Model!$B$13-Model!$B$12)*RAND()</f>
        <v/>
      </c>
      <c r="D698" s="4">
        <f>MIN(B698,Model!$B$8)</f>
        <v/>
      </c>
      <c r="E698" s="6">
        <f>D698*(Model!$B$5-C698)-Model!$B$7</f>
        <v/>
      </c>
    </row>
    <row r="699">
      <c r="A699" t="n">
        <v>698</v>
      </c>
      <c r="B699" s="4">
        <f>MAX(0,_xlfn.NORM.INV(RAND(),Model!$B$4,Model!$B$11))</f>
        <v/>
      </c>
      <c r="C699" s="12">
        <f>Model!$B$12+(Model!$B$13-Model!$B$12)*RAND()</f>
        <v/>
      </c>
      <c r="D699" s="4">
        <f>MIN(B699,Model!$B$8)</f>
        <v/>
      </c>
      <c r="E699" s="6">
        <f>D699*(Model!$B$5-C699)-Model!$B$7</f>
        <v/>
      </c>
    </row>
    <row r="700">
      <c r="A700" t="n">
        <v>699</v>
      </c>
      <c r="B700" s="4">
        <f>MAX(0,_xlfn.NORM.INV(RAND(),Model!$B$4,Model!$B$11))</f>
        <v/>
      </c>
      <c r="C700" s="12">
        <f>Model!$B$12+(Model!$B$13-Model!$B$12)*RAND()</f>
        <v/>
      </c>
      <c r="D700" s="4">
        <f>MIN(B700,Model!$B$8)</f>
        <v/>
      </c>
      <c r="E700" s="6">
        <f>D700*(Model!$B$5-C700)-Model!$B$7</f>
        <v/>
      </c>
    </row>
    <row r="701">
      <c r="A701" t="n">
        <v>700</v>
      </c>
      <c r="B701" s="4">
        <f>MAX(0,_xlfn.NORM.INV(RAND(),Model!$B$4,Model!$B$11))</f>
        <v/>
      </c>
      <c r="C701" s="12">
        <f>Model!$B$12+(Model!$B$13-Model!$B$12)*RAND()</f>
        <v/>
      </c>
      <c r="D701" s="4">
        <f>MIN(B701,Model!$B$8)</f>
        <v/>
      </c>
      <c r="E701" s="6">
        <f>D701*(Model!$B$5-C701)-Model!$B$7</f>
        <v/>
      </c>
    </row>
    <row r="702">
      <c r="A702" t="n">
        <v>701</v>
      </c>
      <c r="B702" s="4">
        <f>MAX(0,_xlfn.NORM.INV(RAND(),Model!$B$4,Model!$B$11))</f>
        <v/>
      </c>
      <c r="C702" s="12">
        <f>Model!$B$12+(Model!$B$13-Model!$B$12)*RAND()</f>
        <v/>
      </c>
      <c r="D702" s="4">
        <f>MIN(B702,Model!$B$8)</f>
        <v/>
      </c>
      <c r="E702" s="6">
        <f>D702*(Model!$B$5-C702)-Model!$B$7</f>
        <v/>
      </c>
    </row>
    <row r="703">
      <c r="A703" t="n">
        <v>702</v>
      </c>
      <c r="B703" s="4">
        <f>MAX(0,_xlfn.NORM.INV(RAND(),Model!$B$4,Model!$B$11))</f>
        <v/>
      </c>
      <c r="C703" s="12">
        <f>Model!$B$12+(Model!$B$13-Model!$B$12)*RAND()</f>
        <v/>
      </c>
      <c r="D703" s="4">
        <f>MIN(B703,Model!$B$8)</f>
        <v/>
      </c>
      <c r="E703" s="6">
        <f>D703*(Model!$B$5-C703)-Model!$B$7</f>
        <v/>
      </c>
    </row>
    <row r="704">
      <c r="A704" t="n">
        <v>703</v>
      </c>
      <c r="B704" s="4">
        <f>MAX(0,_xlfn.NORM.INV(RAND(),Model!$B$4,Model!$B$11))</f>
        <v/>
      </c>
      <c r="C704" s="12">
        <f>Model!$B$12+(Model!$B$13-Model!$B$12)*RAND()</f>
        <v/>
      </c>
      <c r="D704" s="4">
        <f>MIN(B704,Model!$B$8)</f>
        <v/>
      </c>
      <c r="E704" s="6">
        <f>D704*(Model!$B$5-C704)-Model!$B$7</f>
        <v/>
      </c>
    </row>
    <row r="705">
      <c r="A705" t="n">
        <v>704</v>
      </c>
      <c r="B705" s="4">
        <f>MAX(0,_xlfn.NORM.INV(RAND(),Model!$B$4,Model!$B$11))</f>
        <v/>
      </c>
      <c r="C705" s="12">
        <f>Model!$B$12+(Model!$B$13-Model!$B$12)*RAND()</f>
        <v/>
      </c>
      <c r="D705" s="4">
        <f>MIN(B705,Model!$B$8)</f>
        <v/>
      </c>
      <c r="E705" s="6">
        <f>D705*(Model!$B$5-C705)-Model!$B$7</f>
        <v/>
      </c>
    </row>
    <row r="706">
      <c r="A706" t="n">
        <v>705</v>
      </c>
      <c r="B706" s="4">
        <f>MAX(0,_xlfn.NORM.INV(RAND(),Model!$B$4,Model!$B$11))</f>
        <v/>
      </c>
      <c r="C706" s="12">
        <f>Model!$B$12+(Model!$B$13-Model!$B$12)*RAND()</f>
        <v/>
      </c>
      <c r="D706" s="4">
        <f>MIN(B706,Model!$B$8)</f>
        <v/>
      </c>
      <c r="E706" s="6">
        <f>D706*(Model!$B$5-C706)-Model!$B$7</f>
        <v/>
      </c>
    </row>
    <row r="707">
      <c r="A707" t="n">
        <v>706</v>
      </c>
      <c r="B707" s="4">
        <f>MAX(0,_xlfn.NORM.INV(RAND(),Model!$B$4,Model!$B$11))</f>
        <v/>
      </c>
      <c r="C707" s="12">
        <f>Model!$B$12+(Model!$B$13-Model!$B$12)*RAND()</f>
        <v/>
      </c>
      <c r="D707" s="4">
        <f>MIN(B707,Model!$B$8)</f>
        <v/>
      </c>
      <c r="E707" s="6">
        <f>D707*(Model!$B$5-C707)-Model!$B$7</f>
        <v/>
      </c>
    </row>
    <row r="708">
      <c r="A708" t="n">
        <v>707</v>
      </c>
      <c r="B708" s="4">
        <f>MAX(0,_xlfn.NORM.INV(RAND(),Model!$B$4,Model!$B$11))</f>
        <v/>
      </c>
      <c r="C708" s="12">
        <f>Model!$B$12+(Model!$B$13-Model!$B$12)*RAND()</f>
        <v/>
      </c>
      <c r="D708" s="4">
        <f>MIN(B708,Model!$B$8)</f>
        <v/>
      </c>
      <c r="E708" s="6">
        <f>D708*(Model!$B$5-C708)-Model!$B$7</f>
        <v/>
      </c>
    </row>
    <row r="709">
      <c r="A709" t="n">
        <v>708</v>
      </c>
      <c r="B709" s="4">
        <f>MAX(0,_xlfn.NORM.INV(RAND(),Model!$B$4,Model!$B$11))</f>
        <v/>
      </c>
      <c r="C709" s="12">
        <f>Model!$B$12+(Model!$B$13-Model!$B$12)*RAND()</f>
        <v/>
      </c>
      <c r="D709" s="4">
        <f>MIN(B709,Model!$B$8)</f>
        <v/>
      </c>
      <c r="E709" s="6">
        <f>D709*(Model!$B$5-C709)-Model!$B$7</f>
        <v/>
      </c>
    </row>
    <row r="710">
      <c r="A710" t="n">
        <v>709</v>
      </c>
      <c r="B710" s="4">
        <f>MAX(0,_xlfn.NORM.INV(RAND(),Model!$B$4,Model!$B$11))</f>
        <v/>
      </c>
      <c r="C710" s="12">
        <f>Model!$B$12+(Model!$B$13-Model!$B$12)*RAND()</f>
        <v/>
      </c>
      <c r="D710" s="4">
        <f>MIN(B710,Model!$B$8)</f>
        <v/>
      </c>
      <c r="E710" s="6">
        <f>D710*(Model!$B$5-C710)-Model!$B$7</f>
        <v/>
      </c>
    </row>
    <row r="711">
      <c r="A711" t="n">
        <v>710</v>
      </c>
      <c r="B711" s="4">
        <f>MAX(0,_xlfn.NORM.INV(RAND(),Model!$B$4,Model!$B$11))</f>
        <v/>
      </c>
      <c r="C711" s="12">
        <f>Model!$B$12+(Model!$B$13-Model!$B$12)*RAND()</f>
        <v/>
      </c>
      <c r="D711" s="4">
        <f>MIN(B711,Model!$B$8)</f>
        <v/>
      </c>
      <c r="E711" s="6">
        <f>D711*(Model!$B$5-C711)-Model!$B$7</f>
        <v/>
      </c>
    </row>
    <row r="712">
      <c r="A712" t="n">
        <v>711</v>
      </c>
      <c r="B712" s="4">
        <f>MAX(0,_xlfn.NORM.INV(RAND(),Model!$B$4,Model!$B$11))</f>
        <v/>
      </c>
      <c r="C712" s="12">
        <f>Model!$B$12+(Model!$B$13-Model!$B$12)*RAND()</f>
        <v/>
      </c>
      <c r="D712" s="4">
        <f>MIN(B712,Model!$B$8)</f>
        <v/>
      </c>
      <c r="E712" s="6">
        <f>D712*(Model!$B$5-C712)-Model!$B$7</f>
        <v/>
      </c>
    </row>
    <row r="713">
      <c r="A713" t="n">
        <v>712</v>
      </c>
      <c r="B713" s="4">
        <f>MAX(0,_xlfn.NORM.INV(RAND(),Model!$B$4,Model!$B$11))</f>
        <v/>
      </c>
      <c r="C713" s="12">
        <f>Model!$B$12+(Model!$B$13-Model!$B$12)*RAND()</f>
        <v/>
      </c>
      <c r="D713" s="4">
        <f>MIN(B713,Model!$B$8)</f>
        <v/>
      </c>
      <c r="E713" s="6">
        <f>D713*(Model!$B$5-C713)-Model!$B$7</f>
        <v/>
      </c>
    </row>
    <row r="714">
      <c r="A714" t="n">
        <v>713</v>
      </c>
      <c r="B714" s="4">
        <f>MAX(0,_xlfn.NORM.INV(RAND(),Model!$B$4,Model!$B$11))</f>
        <v/>
      </c>
      <c r="C714" s="12">
        <f>Model!$B$12+(Model!$B$13-Model!$B$12)*RAND()</f>
        <v/>
      </c>
      <c r="D714" s="4">
        <f>MIN(B714,Model!$B$8)</f>
        <v/>
      </c>
      <c r="E714" s="6">
        <f>D714*(Model!$B$5-C714)-Model!$B$7</f>
        <v/>
      </c>
    </row>
    <row r="715">
      <c r="A715" t="n">
        <v>714</v>
      </c>
      <c r="B715" s="4">
        <f>MAX(0,_xlfn.NORM.INV(RAND(),Model!$B$4,Model!$B$11))</f>
        <v/>
      </c>
      <c r="C715" s="12">
        <f>Model!$B$12+(Model!$B$13-Model!$B$12)*RAND()</f>
        <v/>
      </c>
      <c r="D715" s="4">
        <f>MIN(B715,Model!$B$8)</f>
        <v/>
      </c>
      <c r="E715" s="6">
        <f>D715*(Model!$B$5-C715)-Model!$B$7</f>
        <v/>
      </c>
    </row>
    <row r="716">
      <c r="A716" t="n">
        <v>715</v>
      </c>
      <c r="B716" s="4">
        <f>MAX(0,_xlfn.NORM.INV(RAND(),Model!$B$4,Model!$B$11))</f>
        <v/>
      </c>
      <c r="C716" s="12">
        <f>Model!$B$12+(Model!$B$13-Model!$B$12)*RAND()</f>
        <v/>
      </c>
      <c r="D716" s="4">
        <f>MIN(B716,Model!$B$8)</f>
        <v/>
      </c>
      <c r="E716" s="6">
        <f>D716*(Model!$B$5-C716)-Model!$B$7</f>
        <v/>
      </c>
    </row>
    <row r="717">
      <c r="A717" t="n">
        <v>716</v>
      </c>
      <c r="B717" s="4">
        <f>MAX(0,_xlfn.NORM.INV(RAND(),Model!$B$4,Model!$B$11))</f>
        <v/>
      </c>
      <c r="C717" s="12">
        <f>Model!$B$12+(Model!$B$13-Model!$B$12)*RAND()</f>
        <v/>
      </c>
      <c r="D717" s="4">
        <f>MIN(B717,Model!$B$8)</f>
        <v/>
      </c>
      <c r="E717" s="6">
        <f>D717*(Model!$B$5-C717)-Model!$B$7</f>
        <v/>
      </c>
    </row>
    <row r="718">
      <c r="A718" t="n">
        <v>717</v>
      </c>
      <c r="B718" s="4">
        <f>MAX(0,_xlfn.NORM.INV(RAND(),Model!$B$4,Model!$B$11))</f>
        <v/>
      </c>
      <c r="C718" s="12">
        <f>Model!$B$12+(Model!$B$13-Model!$B$12)*RAND()</f>
        <v/>
      </c>
      <c r="D718" s="4">
        <f>MIN(B718,Model!$B$8)</f>
        <v/>
      </c>
      <c r="E718" s="6">
        <f>D718*(Model!$B$5-C718)-Model!$B$7</f>
        <v/>
      </c>
    </row>
    <row r="719">
      <c r="A719" t="n">
        <v>718</v>
      </c>
      <c r="B719" s="4">
        <f>MAX(0,_xlfn.NORM.INV(RAND(),Model!$B$4,Model!$B$11))</f>
        <v/>
      </c>
      <c r="C719" s="12">
        <f>Model!$B$12+(Model!$B$13-Model!$B$12)*RAND()</f>
        <v/>
      </c>
      <c r="D719" s="4">
        <f>MIN(B719,Model!$B$8)</f>
        <v/>
      </c>
      <c r="E719" s="6">
        <f>D719*(Model!$B$5-C719)-Model!$B$7</f>
        <v/>
      </c>
    </row>
    <row r="720">
      <c r="A720" t="n">
        <v>719</v>
      </c>
      <c r="B720" s="4">
        <f>MAX(0,_xlfn.NORM.INV(RAND(),Model!$B$4,Model!$B$11))</f>
        <v/>
      </c>
      <c r="C720" s="12">
        <f>Model!$B$12+(Model!$B$13-Model!$B$12)*RAND()</f>
        <v/>
      </c>
      <c r="D720" s="4">
        <f>MIN(B720,Model!$B$8)</f>
        <v/>
      </c>
      <c r="E720" s="6">
        <f>D720*(Model!$B$5-C720)-Model!$B$7</f>
        <v/>
      </c>
    </row>
    <row r="721">
      <c r="A721" t="n">
        <v>720</v>
      </c>
      <c r="B721" s="4">
        <f>MAX(0,_xlfn.NORM.INV(RAND(),Model!$B$4,Model!$B$11))</f>
        <v/>
      </c>
      <c r="C721" s="12">
        <f>Model!$B$12+(Model!$B$13-Model!$B$12)*RAND()</f>
        <v/>
      </c>
      <c r="D721" s="4">
        <f>MIN(B721,Model!$B$8)</f>
        <v/>
      </c>
      <c r="E721" s="6">
        <f>D721*(Model!$B$5-C721)-Model!$B$7</f>
        <v/>
      </c>
    </row>
    <row r="722">
      <c r="A722" t="n">
        <v>721</v>
      </c>
      <c r="B722" s="4">
        <f>MAX(0,_xlfn.NORM.INV(RAND(),Model!$B$4,Model!$B$11))</f>
        <v/>
      </c>
      <c r="C722" s="12">
        <f>Model!$B$12+(Model!$B$13-Model!$B$12)*RAND()</f>
        <v/>
      </c>
      <c r="D722" s="4">
        <f>MIN(B722,Model!$B$8)</f>
        <v/>
      </c>
      <c r="E722" s="6">
        <f>D722*(Model!$B$5-C722)-Model!$B$7</f>
        <v/>
      </c>
    </row>
    <row r="723">
      <c r="A723" t="n">
        <v>722</v>
      </c>
      <c r="B723" s="4">
        <f>MAX(0,_xlfn.NORM.INV(RAND(),Model!$B$4,Model!$B$11))</f>
        <v/>
      </c>
      <c r="C723" s="12">
        <f>Model!$B$12+(Model!$B$13-Model!$B$12)*RAND()</f>
        <v/>
      </c>
      <c r="D723" s="4">
        <f>MIN(B723,Model!$B$8)</f>
        <v/>
      </c>
      <c r="E723" s="6">
        <f>D723*(Model!$B$5-C723)-Model!$B$7</f>
        <v/>
      </c>
    </row>
    <row r="724">
      <c r="A724" t="n">
        <v>723</v>
      </c>
      <c r="B724" s="4">
        <f>MAX(0,_xlfn.NORM.INV(RAND(),Model!$B$4,Model!$B$11))</f>
        <v/>
      </c>
      <c r="C724" s="12">
        <f>Model!$B$12+(Model!$B$13-Model!$B$12)*RAND()</f>
        <v/>
      </c>
      <c r="D724" s="4">
        <f>MIN(B724,Model!$B$8)</f>
        <v/>
      </c>
      <c r="E724" s="6">
        <f>D724*(Model!$B$5-C724)-Model!$B$7</f>
        <v/>
      </c>
    </row>
    <row r="725">
      <c r="A725" t="n">
        <v>724</v>
      </c>
      <c r="B725" s="4">
        <f>MAX(0,_xlfn.NORM.INV(RAND(),Model!$B$4,Model!$B$11))</f>
        <v/>
      </c>
      <c r="C725" s="12">
        <f>Model!$B$12+(Model!$B$13-Model!$B$12)*RAND()</f>
        <v/>
      </c>
      <c r="D725" s="4">
        <f>MIN(B725,Model!$B$8)</f>
        <v/>
      </c>
      <c r="E725" s="6">
        <f>D725*(Model!$B$5-C725)-Model!$B$7</f>
        <v/>
      </c>
    </row>
    <row r="726">
      <c r="A726" t="n">
        <v>725</v>
      </c>
      <c r="B726" s="4">
        <f>MAX(0,_xlfn.NORM.INV(RAND(),Model!$B$4,Model!$B$11))</f>
        <v/>
      </c>
      <c r="C726" s="12">
        <f>Model!$B$12+(Model!$B$13-Model!$B$12)*RAND()</f>
        <v/>
      </c>
      <c r="D726" s="4">
        <f>MIN(B726,Model!$B$8)</f>
        <v/>
      </c>
      <c r="E726" s="6">
        <f>D726*(Model!$B$5-C726)-Model!$B$7</f>
        <v/>
      </c>
    </row>
    <row r="727">
      <c r="A727" t="n">
        <v>726</v>
      </c>
      <c r="B727" s="4">
        <f>MAX(0,_xlfn.NORM.INV(RAND(),Model!$B$4,Model!$B$11))</f>
        <v/>
      </c>
      <c r="C727" s="12">
        <f>Model!$B$12+(Model!$B$13-Model!$B$12)*RAND()</f>
        <v/>
      </c>
      <c r="D727" s="4">
        <f>MIN(B727,Model!$B$8)</f>
        <v/>
      </c>
      <c r="E727" s="6">
        <f>D727*(Model!$B$5-C727)-Model!$B$7</f>
        <v/>
      </c>
    </row>
    <row r="728">
      <c r="A728" t="n">
        <v>727</v>
      </c>
      <c r="B728" s="4">
        <f>MAX(0,_xlfn.NORM.INV(RAND(),Model!$B$4,Model!$B$11))</f>
        <v/>
      </c>
      <c r="C728" s="12">
        <f>Model!$B$12+(Model!$B$13-Model!$B$12)*RAND()</f>
        <v/>
      </c>
      <c r="D728" s="4">
        <f>MIN(B728,Model!$B$8)</f>
        <v/>
      </c>
      <c r="E728" s="6">
        <f>D728*(Model!$B$5-C728)-Model!$B$7</f>
        <v/>
      </c>
    </row>
    <row r="729">
      <c r="A729" t="n">
        <v>728</v>
      </c>
      <c r="B729" s="4">
        <f>MAX(0,_xlfn.NORM.INV(RAND(),Model!$B$4,Model!$B$11))</f>
        <v/>
      </c>
      <c r="C729" s="12">
        <f>Model!$B$12+(Model!$B$13-Model!$B$12)*RAND()</f>
        <v/>
      </c>
      <c r="D729" s="4">
        <f>MIN(B729,Model!$B$8)</f>
        <v/>
      </c>
      <c r="E729" s="6">
        <f>D729*(Model!$B$5-C729)-Model!$B$7</f>
        <v/>
      </c>
    </row>
    <row r="730">
      <c r="A730" t="n">
        <v>729</v>
      </c>
      <c r="B730" s="4">
        <f>MAX(0,_xlfn.NORM.INV(RAND(),Model!$B$4,Model!$B$11))</f>
        <v/>
      </c>
      <c r="C730" s="12">
        <f>Model!$B$12+(Model!$B$13-Model!$B$12)*RAND()</f>
        <v/>
      </c>
      <c r="D730" s="4">
        <f>MIN(B730,Model!$B$8)</f>
        <v/>
      </c>
      <c r="E730" s="6">
        <f>D730*(Model!$B$5-C730)-Model!$B$7</f>
        <v/>
      </c>
    </row>
    <row r="731">
      <c r="A731" t="n">
        <v>730</v>
      </c>
      <c r="B731" s="4">
        <f>MAX(0,_xlfn.NORM.INV(RAND(),Model!$B$4,Model!$B$11))</f>
        <v/>
      </c>
      <c r="C731" s="12">
        <f>Model!$B$12+(Model!$B$13-Model!$B$12)*RAND()</f>
        <v/>
      </c>
      <c r="D731" s="4">
        <f>MIN(B731,Model!$B$8)</f>
        <v/>
      </c>
      <c r="E731" s="6">
        <f>D731*(Model!$B$5-C731)-Model!$B$7</f>
        <v/>
      </c>
    </row>
    <row r="732">
      <c r="A732" t="n">
        <v>731</v>
      </c>
      <c r="B732" s="4">
        <f>MAX(0,_xlfn.NORM.INV(RAND(),Model!$B$4,Model!$B$11))</f>
        <v/>
      </c>
      <c r="C732" s="12">
        <f>Model!$B$12+(Model!$B$13-Model!$B$12)*RAND()</f>
        <v/>
      </c>
      <c r="D732" s="4">
        <f>MIN(B732,Model!$B$8)</f>
        <v/>
      </c>
      <c r="E732" s="6">
        <f>D732*(Model!$B$5-C732)-Model!$B$7</f>
        <v/>
      </c>
    </row>
    <row r="733">
      <c r="A733" t="n">
        <v>732</v>
      </c>
      <c r="B733" s="4">
        <f>MAX(0,_xlfn.NORM.INV(RAND(),Model!$B$4,Model!$B$11))</f>
        <v/>
      </c>
      <c r="C733" s="12">
        <f>Model!$B$12+(Model!$B$13-Model!$B$12)*RAND()</f>
        <v/>
      </c>
      <c r="D733" s="4">
        <f>MIN(B733,Model!$B$8)</f>
        <v/>
      </c>
      <c r="E733" s="6">
        <f>D733*(Model!$B$5-C733)-Model!$B$7</f>
        <v/>
      </c>
    </row>
    <row r="734">
      <c r="A734" t="n">
        <v>733</v>
      </c>
      <c r="B734" s="4">
        <f>MAX(0,_xlfn.NORM.INV(RAND(),Model!$B$4,Model!$B$11))</f>
        <v/>
      </c>
      <c r="C734" s="12">
        <f>Model!$B$12+(Model!$B$13-Model!$B$12)*RAND()</f>
        <v/>
      </c>
      <c r="D734" s="4">
        <f>MIN(B734,Model!$B$8)</f>
        <v/>
      </c>
      <c r="E734" s="6">
        <f>D734*(Model!$B$5-C734)-Model!$B$7</f>
        <v/>
      </c>
    </row>
    <row r="735">
      <c r="A735" t="n">
        <v>734</v>
      </c>
      <c r="B735" s="4">
        <f>MAX(0,_xlfn.NORM.INV(RAND(),Model!$B$4,Model!$B$11))</f>
        <v/>
      </c>
      <c r="C735" s="12">
        <f>Model!$B$12+(Model!$B$13-Model!$B$12)*RAND()</f>
        <v/>
      </c>
      <c r="D735" s="4">
        <f>MIN(B735,Model!$B$8)</f>
        <v/>
      </c>
      <c r="E735" s="6">
        <f>D735*(Model!$B$5-C735)-Model!$B$7</f>
        <v/>
      </c>
    </row>
    <row r="736">
      <c r="A736" t="n">
        <v>735</v>
      </c>
      <c r="B736" s="4">
        <f>MAX(0,_xlfn.NORM.INV(RAND(),Model!$B$4,Model!$B$11))</f>
        <v/>
      </c>
      <c r="C736" s="12">
        <f>Model!$B$12+(Model!$B$13-Model!$B$12)*RAND()</f>
        <v/>
      </c>
      <c r="D736" s="4">
        <f>MIN(B736,Model!$B$8)</f>
        <v/>
      </c>
      <c r="E736" s="6">
        <f>D736*(Model!$B$5-C736)-Model!$B$7</f>
        <v/>
      </c>
    </row>
    <row r="737">
      <c r="A737" t="n">
        <v>736</v>
      </c>
      <c r="B737" s="4">
        <f>MAX(0,_xlfn.NORM.INV(RAND(),Model!$B$4,Model!$B$11))</f>
        <v/>
      </c>
      <c r="C737" s="12">
        <f>Model!$B$12+(Model!$B$13-Model!$B$12)*RAND()</f>
        <v/>
      </c>
      <c r="D737" s="4">
        <f>MIN(B737,Model!$B$8)</f>
        <v/>
      </c>
      <c r="E737" s="6">
        <f>D737*(Model!$B$5-C737)-Model!$B$7</f>
        <v/>
      </c>
    </row>
    <row r="738">
      <c r="A738" t="n">
        <v>737</v>
      </c>
      <c r="B738" s="4">
        <f>MAX(0,_xlfn.NORM.INV(RAND(),Model!$B$4,Model!$B$11))</f>
        <v/>
      </c>
      <c r="C738" s="12">
        <f>Model!$B$12+(Model!$B$13-Model!$B$12)*RAND()</f>
        <v/>
      </c>
      <c r="D738" s="4">
        <f>MIN(B738,Model!$B$8)</f>
        <v/>
      </c>
      <c r="E738" s="6">
        <f>D738*(Model!$B$5-C738)-Model!$B$7</f>
        <v/>
      </c>
    </row>
    <row r="739">
      <c r="A739" t="n">
        <v>738</v>
      </c>
      <c r="B739" s="4">
        <f>MAX(0,_xlfn.NORM.INV(RAND(),Model!$B$4,Model!$B$11))</f>
        <v/>
      </c>
      <c r="C739" s="12">
        <f>Model!$B$12+(Model!$B$13-Model!$B$12)*RAND()</f>
        <v/>
      </c>
      <c r="D739" s="4">
        <f>MIN(B739,Model!$B$8)</f>
        <v/>
      </c>
      <c r="E739" s="6">
        <f>D739*(Model!$B$5-C739)-Model!$B$7</f>
        <v/>
      </c>
    </row>
    <row r="740">
      <c r="A740" t="n">
        <v>739</v>
      </c>
      <c r="B740" s="4">
        <f>MAX(0,_xlfn.NORM.INV(RAND(),Model!$B$4,Model!$B$11))</f>
        <v/>
      </c>
      <c r="C740" s="12">
        <f>Model!$B$12+(Model!$B$13-Model!$B$12)*RAND()</f>
        <v/>
      </c>
      <c r="D740" s="4">
        <f>MIN(B740,Model!$B$8)</f>
        <v/>
      </c>
      <c r="E740" s="6">
        <f>D740*(Model!$B$5-C740)-Model!$B$7</f>
        <v/>
      </c>
    </row>
    <row r="741">
      <c r="A741" t="n">
        <v>740</v>
      </c>
      <c r="B741" s="4">
        <f>MAX(0,_xlfn.NORM.INV(RAND(),Model!$B$4,Model!$B$11))</f>
        <v/>
      </c>
      <c r="C741" s="12">
        <f>Model!$B$12+(Model!$B$13-Model!$B$12)*RAND()</f>
        <v/>
      </c>
      <c r="D741" s="4">
        <f>MIN(B741,Model!$B$8)</f>
        <v/>
      </c>
      <c r="E741" s="6">
        <f>D741*(Model!$B$5-C741)-Model!$B$7</f>
        <v/>
      </c>
    </row>
    <row r="742">
      <c r="A742" t="n">
        <v>741</v>
      </c>
      <c r="B742" s="4">
        <f>MAX(0,_xlfn.NORM.INV(RAND(),Model!$B$4,Model!$B$11))</f>
        <v/>
      </c>
      <c r="C742" s="12">
        <f>Model!$B$12+(Model!$B$13-Model!$B$12)*RAND()</f>
        <v/>
      </c>
      <c r="D742" s="4">
        <f>MIN(B742,Model!$B$8)</f>
        <v/>
      </c>
      <c r="E742" s="6">
        <f>D742*(Model!$B$5-C742)-Model!$B$7</f>
        <v/>
      </c>
    </row>
    <row r="743">
      <c r="A743" t="n">
        <v>742</v>
      </c>
      <c r="B743" s="4">
        <f>MAX(0,_xlfn.NORM.INV(RAND(),Model!$B$4,Model!$B$11))</f>
        <v/>
      </c>
      <c r="C743" s="12">
        <f>Model!$B$12+(Model!$B$13-Model!$B$12)*RAND()</f>
        <v/>
      </c>
      <c r="D743" s="4">
        <f>MIN(B743,Model!$B$8)</f>
        <v/>
      </c>
      <c r="E743" s="6">
        <f>D743*(Model!$B$5-C743)-Model!$B$7</f>
        <v/>
      </c>
    </row>
    <row r="744">
      <c r="A744" t="n">
        <v>743</v>
      </c>
      <c r="B744" s="4">
        <f>MAX(0,_xlfn.NORM.INV(RAND(),Model!$B$4,Model!$B$11))</f>
        <v/>
      </c>
      <c r="C744" s="12">
        <f>Model!$B$12+(Model!$B$13-Model!$B$12)*RAND()</f>
        <v/>
      </c>
      <c r="D744" s="4">
        <f>MIN(B744,Model!$B$8)</f>
        <v/>
      </c>
      <c r="E744" s="6">
        <f>D744*(Model!$B$5-C744)-Model!$B$7</f>
        <v/>
      </c>
    </row>
    <row r="745">
      <c r="A745" t="n">
        <v>744</v>
      </c>
      <c r="B745" s="4">
        <f>MAX(0,_xlfn.NORM.INV(RAND(),Model!$B$4,Model!$B$11))</f>
        <v/>
      </c>
      <c r="C745" s="12">
        <f>Model!$B$12+(Model!$B$13-Model!$B$12)*RAND()</f>
        <v/>
      </c>
      <c r="D745" s="4">
        <f>MIN(B745,Model!$B$8)</f>
        <v/>
      </c>
      <c r="E745" s="6">
        <f>D745*(Model!$B$5-C745)-Model!$B$7</f>
        <v/>
      </c>
    </row>
    <row r="746">
      <c r="A746" t="n">
        <v>745</v>
      </c>
      <c r="B746" s="4">
        <f>MAX(0,_xlfn.NORM.INV(RAND(),Model!$B$4,Model!$B$11))</f>
        <v/>
      </c>
      <c r="C746" s="12">
        <f>Model!$B$12+(Model!$B$13-Model!$B$12)*RAND()</f>
        <v/>
      </c>
      <c r="D746" s="4">
        <f>MIN(B746,Model!$B$8)</f>
        <v/>
      </c>
      <c r="E746" s="6">
        <f>D746*(Model!$B$5-C746)-Model!$B$7</f>
        <v/>
      </c>
    </row>
    <row r="747">
      <c r="A747" t="n">
        <v>746</v>
      </c>
      <c r="B747" s="4">
        <f>MAX(0,_xlfn.NORM.INV(RAND(),Model!$B$4,Model!$B$11))</f>
        <v/>
      </c>
      <c r="C747" s="12">
        <f>Model!$B$12+(Model!$B$13-Model!$B$12)*RAND()</f>
        <v/>
      </c>
      <c r="D747" s="4">
        <f>MIN(B747,Model!$B$8)</f>
        <v/>
      </c>
      <c r="E747" s="6">
        <f>D747*(Model!$B$5-C747)-Model!$B$7</f>
        <v/>
      </c>
    </row>
    <row r="748">
      <c r="A748" t="n">
        <v>747</v>
      </c>
      <c r="B748" s="4">
        <f>MAX(0,_xlfn.NORM.INV(RAND(),Model!$B$4,Model!$B$11))</f>
        <v/>
      </c>
      <c r="C748" s="12">
        <f>Model!$B$12+(Model!$B$13-Model!$B$12)*RAND()</f>
        <v/>
      </c>
      <c r="D748" s="4">
        <f>MIN(B748,Model!$B$8)</f>
        <v/>
      </c>
      <c r="E748" s="6">
        <f>D748*(Model!$B$5-C748)-Model!$B$7</f>
        <v/>
      </c>
    </row>
    <row r="749">
      <c r="A749" t="n">
        <v>748</v>
      </c>
      <c r="B749" s="4">
        <f>MAX(0,_xlfn.NORM.INV(RAND(),Model!$B$4,Model!$B$11))</f>
        <v/>
      </c>
      <c r="C749" s="12">
        <f>Model!$B$12+(Model!$B$13-Model!$B$12)*RAND()</f>
        <v/>
      </c>
      <c r="D749" s="4">
        <f>MIN(B749,Model!$B$8)</f>
        <v/>
      </c>
      <c r="E749" s="6">
        <f>D749*(Model!$B$5-C749)-Model!$B$7</f>
        <v/>
      </c>
    </row>
    <row r="750">
      <c r="A750" t="n">
        <v>749</v>
      </c>
      <c r="B750" s="4">
        <f>MAX(0,_xlfn.NORM.INV(RAND(),Model!$B$4,Model!$B$11))</f>
        <v/>
      </c>
      <c r="C750" s="12">
        <f>Model!$B$12+(Model!$B$13-Model!$B$12)*RAND()</f>
        <v/>
      </c>
      <c r="D750" s="4">
        <f>MIN(B750,Model!$B$8)</f>
        <v/>
      </c>
      <c r="E750" s="6">
        <f>D750*(Model!$B$5-C750)-Model!$B$7</f>
        <v/>
      </c>
    </row>
    <row r="751">
      <c r="A751" t="n">
        <v>750</v>
      </c>
      <c r="B751" s="4">
        <f>MAX(0,_xlfn.NORM.INV(RAND(),Model!$B$4,Model!$B$11))</f>
        <v/>
      </c>
      <c r="C751" s="12">
        <f>Model!$B$12+(Model!$B$13-Model!$B$12)*RAND()</f>
        <v/>
      </c>
      <c r="D751" s="4">
        <f>MIN(B751,Model!$B$8)</f>
        <v/>
      </c>
      <c r="E751" s="6">
        <f>D751*(Model!$B$5-C751)-Model!$B$7</f>
        <v/>
      </c>
    </row>
    <row r="752">
      <c r="A752" t="n">
        <v>751</v>
      </c>
      <c r="B752" s="4">
        <f>MAX(0,_xlfn.NORM.INV(RAND(),Model!$B$4,Model!$B$11))</f>
        <v/>
      </c>
      <c r="C752" s="12">
        <f>Model!$B$12+(Model!$B$13-Model!$B$12)*RAND()</f>
        <v/>
      </c>
      <c r="D752" s="4">
        <f>MIN(B752,Model!$B$8)</f>
        <v/>
      </c>
      <c r="E752" s="6">
        <f>D752*(Model!$B$5-C752)-Model!$B$7</f>
        <v/>
      </c>
    </row>
    <row r="753">
      <c r="A753" t="n">
        <v>752</v>
      </c>
      <c r="B753" s="4">
        <f>MAX(0,_xlfn.NORM.INV(RAND(),Model!$B$4,Model!$B$11))</f>
        <v/>
      </c>
      <c r="C753" s="12">
        <f>Model!$B$12+(Model!$B$13-Model!$B$12)*RAND()</f>
        <v/>
      </c>
      <c r="D753" s="4">
        <f>MIN(B753,Model!$B$8)</f>
        <v/>
      </c>
      <c r="E753" s="6">
        <f>D753*(Model!$B$5-C753)-Model!$B$7</f>
        <v/>
      </c>
    </row>
    <row r="754">
      <c r="A754" t="n">
        <v>753</v>
      </c>
      <c r="B754" s="4">
        <f>MAX(0,_xlfn.NORM.INV(RAND(),Model!$B$4,Model!$B$11))</f>
        <v/>
      </c>
      <c r="C754" s="12">
        <f>Model!$B$12+(Model!$B$13-Model!$B$12)*RAND()</f>
        <v/>
      </c>
      <c r="D754" s="4">
        <f>MIN(B754,Model!$B$8)</f>
        <v/>
      </c>
      <c r="E754" s="6">
        <f>D754*(Model!$B$5-C754)-Model!$B$7</f>
        <v/>
      </c>
    </row>
    <row r="755">
      <c r="A755" t="n">
        <v>754</v>
      </c>
      <c r="B755" s="4">
        <f>MAX(0,_xlfn.NORM.INV(RAND(),Model!$B$4,Model!$B$11))</f>
        <v/>
      </c>
      <c r="C755" s="12">
        <f>Model!$B$12+(Model!$B$13-Model!$B$12)*RAND()</f>
        <v/>
      </c>
      <c r="D755" s="4">
        <f>MIN(B755,Model!$B$8)</f>
        <v/>
      </c>
      <c r="E755" s="6">
        <f>D755*(Model!$B$5-C755)-Model!$B$7</f>
        <v/>
      </c>
    </row>
    <row r="756">
      <c r="A756" t="n">
        <v>755</v>
      </c>
      <c r="B756" s="4">
        <f>MAX(0,_xlfn.NORM.INV(RAND(),Model!$B$4,Model!$B$11))</f>
        <v/>
      </c>
      <c r="C756" s="12">
        <f>Model!$B$12+(Model!$B$13-Model!$B$12)*RAND()</f>
        <v/>
      </c>
      <c r="D756" s="4">
        <f>MIN(B756,Model!$B$8)</f>
        <v/>
      </c>
      <c r="E756" s="6">
        <f>D756*(Model!$B$5-C756)-Model!$B$7</f>
        <v/>
      </c>
    </row>
    <row r="757">
      <c r="A757" t="n">
        <v>756</v>
      </c>
      <c r="B757" s="4">
        <f>MAX(0,_xlfn.NORM.INV(RAND(),Model!$B$4,Model!$B$11))</f>
        <v/>
      </c>
      <c r="C757" s="12">
        <f>Model!$B$12+(Model!$B$13-Model!$B$12)*RAND()</f>
        <v/>
      </c>
      <c r="D757" s="4">
        <f>MIN(B757,Model!$B$8)</f>
        <v/>
      </c>
      <c r="E757" s="6">
        <f>D757*(Model!$B$5-C757)-Model!$B$7</f>
        <v/>
      </c>
    </row>
    <row r="758">
      <c r="A758" t="n">
        <v>757</v>
      </c>
      <c r="B758" s="4">
        <f>MAX(0,_xlfn.NORM.INV(RAND(),Model!$B$4,Model!$B$11))</f>
        <v/>
      </c>
      <c r="C758" s="12">
        <f>Model!$B$12+(Model!$B$13-Model!$B$12)*RAND()</f>
        <v/>
      </c>
      <c r="D758" s="4">
        <f>MIN(B758,Model!$B$8)</f>
        <v/>
      </c>
      <c r="E758" s="6">
        <f>D758*(Model!$B$5-C758)-Model!$B$7</f>
        <v/>
      </c>
    </row>
    <row r="759">
      <c r="A759" t="n">
        <v>758</v>
      </c>
      <c r="B759" s="4">
        <f>MAX(0,_xlfn.NORM.INV(RAND(),Model!$B$4,Model!$B$11))</f>
        <v/>
      </c>
      <c r="C759" s="12">
        <f>Model!$B$12+(Model!$B$13-Model!$B$12)*RAND()</f>
        <v/>
      </c>
      <c r="D759" s="4">
        <f>MIN(B759,Model!$B$8)</f>
        <v/>
      </c>
      <c r="E759" s="6">
        <f>D759*(Model!$B$5-C759)-Model!$B$7</f>
        <v/>
      </c>
    </row>
    <row r="760">
      <c r="A760" t="n">
        <v>759</v>
      </c>
      <c r="B760" s="4">
        <f>MAX(0,_xlfn.NORM.INV(RAND(),Model!$B$4,Model!$B$11))</f>
        <v/>
      </c>
      <c r="C760" s="12">
        <f>Model!$B$12+(Model!$B$13-Model!$B$12)*RAND()</f>
        <v/>
      </c>
      <c r="D760" s="4">
        <f>MIN(B760,Model!$B$8)</f>
        <v/>
      </c>
      <c r="E760" s="6">
        <f>D760*(Model!$B$5-C760)-Model!$B$7</f>
        <v/>
      </c>
    </row>
    <row r="761">
      <c r="A761" t="n">
        <v>760</v>
      </c>
      <c r="B761" s="4">
        <f>MAX(0,_xlfn.NORM.INV(RAND(),Model!$B$4,Model!$B$11))</f>
        <v/>
      </c>
      <c r="C761" s="12">
        <f>Model!$B$12+(Model!$B$13-Model!$B$12)*RAND()</f>
        <v/>
      </c>
      <c r="D761" s="4">
        <f>MIN(B761,Model!$B$8)</f>
        <v/>
      </c>
      <c r="E761" s="6">
        <f>D761*(Model!$B$5-C761)-Model!$B$7</f>
        <v/>
      </c>
    </row>
    <row r="762">
      <c r="A762" t="n">
        <v>761</v>
      </c>
      <c r="B762" s="4">
        <f>MAX(0,_xlfn.NORM.INV(RAND(),Model!$B$4,Model!$B$11))</f>
        <v/>
      </c>
      <c r="C762" s="12">
        <f>Model!$B$12+(Model!$B$13-Model!$B$12)*RAND()</f>
        <v/>
      </c>
      <c r="D762" s="4">
        <f>MIN(B762,Model!$B$8)</f>
        <v/>
      </c>
      <c r="E762" s="6">
        <f>D762*(Model!$B$5-C762)-Model!$B$7</f>
        <v/>
      </c>
    </row>
    <row r="763">
      <c r="A763" t="n">
        <v>762</v>
      </c>
      <c r="B763" s="4">
        <f>MAX(0,_xlfn.NORM.INV(RAND(),Model!$B$4,Model!$B$11))</f>
        <v/>
      </c>
      <c r="C763" s="12">
        <f>Model!$B$12+(Model!$B$13-Model!$B$12)*RAND()</f>
        <v/>
      </c>
      <c r="D763" s="4">
        <f>MIN(B763,Model!$B$8)</f>
        <v/>
      </c>
      <c r="E763" s="6">
        <f>D763*(Model!$B$5-C763)-Model!$B$7</f>
        <v/>
      </c>
    </row>
    <row r="764">
      <c r="A764" t="n">
        <v>763</v>
      </c>
      <c r="B764" s="4">
        <f>MAX(0,_xlfn.NORM.INV(RAND(),Model!$B$4,Model!$B$11))</f>
        <v/>
      </c>
      <c r="C764" s="12">
        <f>Model!$B$12+(Model!$B$13-Model!$B$12)*RAND()</f>
        <v/>
      </c>
      <c r="D764" s="4">
        <f>MIN(B764,Model!$B$8)</f>
        <v/>
      </c>
      <c r="E764" s="6">
        <f>D764*(Model!$B$5-C764)-Model!$B$7</f>
        <v/>
      </c>
    </row>
    <row r="765">
      <c r="A765" t="n">
        <v>764</v>
      </c>
      <c r="B765" s="4">
        <f>MAX(0,_xlfn.NORM.INV(RAND(),Model!$B$4,Model!$B$11))</f>
        <v/>
      </c>
      <c r="C765" s="12">
        <f>Model!$B$12+(Model!$B$13-Model!$B$12)*RAND()</f>
        <v/>
      </c>
      <c r="D765" s="4">
        <f>MIN(B765,Model!$B$8)</f>
        <v/>
      </c>
      <c r="E765" s="6">
        <f>D765*(Model!$B$5-C765)-Model!$B$7</f>
        <v/>
      </c>
    </row>
    <row r="766">
      <c r="A766" t="n">
        <v>765</v>
      </c>
      <c r="B766" s="4">
        <f>MAX(0,_xlfn.NORM.INV(RAND(),Model!$B$4,Model!$B$11))</f>
        <v/>
      </c>
      <c r="C766" s="12">
        <f>Model!$B$12+(Model!$B$13-Model!$B$12)*RAND()</f>
        <v/>
      </c>
      <c r="D766" s="4">
        <f>MIN(B766,Model!$B$8)</f>
        <v/>
      </c>
      <c r="E766" s="6">
        <f>D766*(Model!$B$5-C766)-Model!$B$7</f>
        <v/>
      </c>
    </row>
    <row r="767">
      <c r="A767" t="n">
        <v>766</v>
      </c>
      <c r="B767" s="4">
        <f>MAX(0,_xlfn.NORM.INV(RAND(),Model!$B$4,Model!$B$11))</f>
        <v/>
      </c>
      <c r="C767" s="12">
        <f>Model!$B$12+(Model!$B$13-Model!$B$12)*RAND()</f>
        <v/>
      </c>
      <c r="D767" s="4">
        <f>MIN(B767,Model!$B$8)</f>
        <v/>
      </c>
      <c r="E767" s="6">
        <f>D767*(Model!$B$5-C767)-Model!$B$7</f>
        <v/>
      </c>
    </row>
    <row r="768">
      <c r="A768" t="n">
        <v>767</v>
      </c>
      <c r="B768" s="4">
        <f>MAX(0,_xlfn.NORM.INV(RAND(),Model!$B$4,Model!$B$11))</f>
        <v/>
      </c>
      <c r="C768" s="12">
        <f>Model!$B$12+(Model!$B$13-Model!$B$12)*RAND()</f>
        <v/>
      </c>
      <c r="D768" s="4">
        <f>MIN(B768,Model!$B$8)</f>
        <v/>
      </c>
      <c r="E768" s="6">
        <f>D768*(Model!$B$5-C768)-Model!$B$7</f>
        <v/>
      </c>
    </row>
    <row r="769">
      <c r="A769" t="n">
        <v>768</v>
      </c>
      <c r="B769" s="4">
        <f>MAX(0,_xlfn.NORM.INV(RAND(),Model!$B$4,Model!$B$11))</f>
        <v/>
      </c>
      <c r="C769" s="12">
        <f>Model!$B$12+(Model!$B$13-Model!$B$12)*RAND()</f>
        <v/>
      </c>
      <c r="D769" s="4">
        <f>MIN(B769,Model!$B$8)</f>
        <v/>
      </c>
      <c r="E769" s="6">
        <f>D769*(Model!$B$5-C769)-Model!$B$7</f>
        <v/>
      </c>
    </row>
    <row r="770">
      <c r="A770" t="n">
        <v>769</v>
      </c>
      <c r="B770" s="4">
        <f>MAX(0,_xlfn.NORM.INV(RAND(),Model!$B$4,Model!$B$11))</f>
        <v/>
      </c>
      <c r="C770" s="12">
        <f>Model!$B$12+(Model!$B$13-Model!$B$12)*RAND()</f>
        <v/>
      </c>
      <c r="D770" s="4">
        <f>MIN(B770,Model!$B$8)</f>
        <v/>
      </c>
      <c r="E770" s="6">
        <f>D770*(Model!$B$5-C770)-Model!$B$7</f>
        <v/>
      </c>
    </row>
    <row r="771">
      <c r="A771" t="n">
        <v>770</v>
      </c>
      <c r="B771" s="4">
        <f>MAX(0,_xlfn.NORM.INV(RAND(),Model!$B$4,Model!$B$11))</f>
        <v/>
      </c>
      <c r="C771" s="12">
        <f>Model!$B$12+(Model!$B$13-Model!$B$12)*RAND()</f>
        <v/>
      </c>
      <c r="D771" s="4">
        <f>MIN(B771,Model!$B$8)</f>
        <v/>
      </c>
      <c r="E771" s="6">
        <f>D771*(Model!$B$5-C771)-Model!$B$7</f>
        <v/>
      </c>
    </row>
    <row r="772">
      <c r="A772" t="n">
        <v>771</v>
      </c>
      <c r="B772" s="4">
        <f>MAX(0,_xlfn.NORM.INV(RAND(),Model!$B$4,Model!$B$11))</f>
        <v/>
      </c>
      <c r="C772" s="12">
        <f>Model!$B$12+(Model!$B$13-Model!$B$12)*RAND()</f>
        <v/>
      </c>
      <c r="D772" s="4">
        <f>MIN(B772,Model!$B$8)</f>
        <v/>
      </c>
      <c r="E772" s="6">
        <f>D772*(Model!$B$5-C772)-Model!$B$7</f>
        <v/>
      </c>
    </row>
    <row r="773">
      <c r="A773" t="n">
        <v>772</v>
      </c>
      <c r="B773" s="4">
        <f>MAX(0,_xlfn.NORM.INV(RAND(),Model!$B$4,Model!$B$11))</f>
        <v/>
      </c>
      <c r="C773" s="12">
        <f>Model!$B$12+(Model!$B$13-Model!$B$12)*RAND()</f>
        <v/>
      </c>
      <c r="D773" s="4">
        <f>MIN(B773,Model!$B$8)</f>
        <v/>
      </c>
      <c r="E773" s="6">
        <f>D773*(Model!$B$5-C773)-Model!$B$7</f>
        <v/>
      </c>
    </row>
    <row r="774">
      <c r="A774" t="n">
        <v>773</v>
      </c>
      <c r="B774" s="4">
        <f>MAX(0,_xlfn.NORM.INV(RAND(),Model!$B$4,Model!$B$11))</f>
        <v/>
      </c>
      <c r="C774" s="12">
        <f>Model!$B$12+(Model!$B$13-Model!$B$12)*RAND()</f>
        <v/>
      </c>
      <c r="D774" s="4">
        <f>MIN(B774,Model!$B$8)</f>
        <v/>
      </c>
      <c r="E774" s="6">
        <f>D774*(Model!$B$5-C774)-Model!$B$7</f>
        <v/>
      </c>
    </row>
    <row r="775">
      <c r="A775" t="n">
        <v>774</v>
      </c>
      <c r="B775" s="4">
        <f>MAX(0,_xlfn.NORM.INV(RAND(),Model!$B$4,Model!$B$11))</f>
        <v/>
      </c>
      <c r="C775" s="12">
        <f>Model!$B$12+(Model!$B$13-Model!$B$12)*RAND()</f>
        <v/>
      </c>
      <c r="D775" s="4">
        <f>MIN(B775,Model!$B$8)</f>
        <v/>
      </c>
      <c r="E775" s="6">
        <f>D775*(Model!$B$5-C775)-Model!$B$7</f>
        <v/>
      </c>
    </row>
    <row r="776">
      <c r="A776" t="n">
        <v>775</v>
      </c>
      <c r="B776" s="4">
        <f>MAX(0,_xlfn.NORM.INV(RAND(),Model!$B$4,Model!$B$11))</f>
        <v/>
      </c>
      <c r="C776" s="12">
        <f>Model!$B$12+(Model!$B$13-Model!$B$12)*RAND()</f>
        <v/>
      </c>
      <c r="D776" s="4">
        <f>MIN(B776,Model!$B$8)</f>
        <v/>
      </c>
      <c r="E776" s="6">
        <f>D776*(Model!$B$5-C776)-Model!$B$7</f>
        <v/>
      </c>
    </row>
    <row r="777">
      <c r="A777" t="n">
        <v>776</v>
      </c>
      <c r="B777" s="4">
        <f>MAX(0,_xlfn.NORM.INV(RAND(),Model!$B$4,Model!$B$11))</f>
        <v/>
      </c>
      <c r="C777" s="12">
        <f>Model!$B$12+(Model!$B$13-Model!$B$12)*RAND()</f>
        <v/>
      </c>
      <c r="D777" s="4">
        <f>MIN(B777,Model!$B$8)</f>
        <v/>
      </c>
      <c r="E777" s="6">
        <f>D777*(Model!$B$5-C777)-Model!$B$7</f>
        <v/>
      </c>
    </row>
    <row r="778">
      <c r="A778" t="n">
        <v>777</v>
      </c>
      <c r="B778" s="4">
        <f>MAX(0,_xlfn.NORM.INV(RAND(),Model!$B$4,Model!$B$11))</f>
        <v/>
      </c>
      <c r="C778" s="12">
        <f>Model!$B$12+(Model!$B$13-Model!$B$12)*RAND()</f>
        <v/>
      </c>
      <c r="D778" s="4">
        <f>MIN(B778,Model!$B$8)</f>
        <v/>
      </c>
      <c r="E778" s="6">
        <f>D778*(Model!$B$5-C778)-Model!$B$7</f>
        <v/>
      </c>
    </row>
    <row r="779">
      <c r="A779" t="n">
        <v>778</v>
      </c>
      <c r="B779" s="4">
        <f>MAX(0,_xlfn.NORM.INV(RAND(),Model!$B$4,Model!$B$11))</f>
        <v/>
      </c>
      <c r="C779" s="12">
        <f>Model!$B$12+(Model!$B$13-Model!$B$12)*RAND()</f>
        <v/>
      </c>
      <c r="D779" s="4">
        <f>MIN(B779,Model!$B$8)</f>
        <v/>
      </c>
      <c r="E779" s="6">
        <f>D779*(Model!$B$5-C779)-Model!$B$7</f>
        <v/>
      </c>
    </row>
    <row r="780">
      <c r="A780" t="n">
        <v>779</v>
      </c>
      <c r="B780" s="4">
        <f>MAX(0,_xlfn.NORM.INV(RAND(),Model!$B$4,Model!$B$11))</f>
        <v/>
      </c>
      <c r="C780" s="12">
        <f>Model!$B$12+(Model!$B$13-Model!$B$12)*RAND()</f>
        <v/>
      </c>
      <c r="D780" s="4">
        <f>MIN(B780,Model!$B$8)</f>
        <v/>
      </c>
      <c r="E780" s="6">
        <f>D780*(Model!$B$5-C780)-Model!$B$7</f>
        <v/>
      </c>
    </row>
    <row r="781">
      <c r="A781" t="n">
        <v>780</v>
      </c>
      <c r="B781" s="4">
        <f>MAX(0,_xlfn.NORM.INV(RAND(),Model!$B$4,Model!$B$11))</f>
        <v/>
      </c>
      <c r="C781" s="12">
        <f>Model!$B$12+(Model!$B$13-Model!$B$12)*RAND()</f>
        <v/>
      </c>
      <c r="D781" s="4">
        <f>MIN(B781,Model!$B$8)</f>
        <v/>
      </c>
      <c r="E781" s="6">
        <f>D781*(Model!$B$5-C781)-Model!$B$7</f>
        <v/>
      </c>
    </row>
    <row r="782">
      <c r="A782" t="n">
        <v>781</v>
      </c>
      <c r="B782" s="4">
        <f>MAX(0,_xlfn.NORM.INV(RAND(),Model!$B$4,Model!$B$11))</f>
        <v/>
      </c>
      <c r="C782" s="12">
        <f>Model!$B$12+(Model!$B$13-Model!$B$12)*RAND()</f>
        <v/>
      </c>
      <c r="D782" s="4">
        <f>MIN(B782,Model!$B$8)</f>
        <v/>
      </c>
      <c r="E782" s="6">
        <f>D782*(Model!$B$5-C782)-Model!$B$7</f>
        <v/>
      </c>
    </row>
    <row r="783">
      <c r="A783" t="n">
        <v>782</v>
      </c>
      <c r="B783" s="4">
        <f>MAX(0,_xlfn.NORM.INV(RAND(),Model!$B$4,Model!$B$11))</f>
        <v/>
      </c>
      <c r="C783" s="12">
        <f>Model!$B$12+(Model!$B$13-Model!$B$12)*RAND()</f>
        <v/>
      </c>
      <c r="D783" s="4">
        <f>MIN(B783,Model!$B$8)</f>
        <v/>
      </c>
      <c r="E783" s="6">
        <f>D783*(Model!$B$5-C783)-Model!$B$7</f>
        <v/>
      </c>
    </row>
    <row r="784">
      <c r="A784" t="n">
        <v>783</v>
      </c>
      <c r="B784" s="4">
        <f>MAX(0,_xlfn.NORM.INV(RAND(),Model!$B$4,Model!$B$11))</f>
        <v/>
      </c>
      <c r="C784" s="12">
        <f>Model!$B$12+(Model!$B$13-Model!$B$12)*RAND()</f>
        <v/>
      </c>
      <c r="D784" s="4">
        <f>MIN(B784,Model!$B$8)</f>
        <v/>
      </c>
      <c r="E784" s="6">
        <f>D784*(Model!$B$5-C784)-Model!$B$7</f>
        <v/>
      </c>
    </row>
    <row r="785">
      <c r="A785" t="n">
        <v>784</v>
      </c>
      <c r="B785" s="4">
        <f>MAX(0,_xlfn.NORM.INV(RAND(),Model!$B$4,Model!$B$11))</f>
        <v/>
      </c>
      <c r="C785" s="12">
        <f>Model!$B$12+(Model!$B$13-Model!$B$12)*RAND()</f>
        <v/>
      </c>
      <c r="D785" s="4">
        <f>MIN(B785,Model!$B$8)</f>
        <v/>
      </c>
      <c r="E785" s="6">
        <f>D785*(Model!$B$5-C785)-Model!$B$7</f>
        <v/>
      </c>
    </row>
    <row r="786">
      <c r="A786" t="n">
        <v>785</v>
      </c>
      <c r="B786" s="4">
        <f>MAX(0,_xlfn.NORM.INV(RAND(),Model!$B$4,Model!$B$11))</f>
        <v/>
      </c>
      <c r="C786" s="12">
        <f>Model!$B$12+(Model!$B$13-Model!$B$12)*RAND()</f>
        <v/>
      </c>
      <c r="D786" s="4">
        <f>MIN(B786,Model!$B$8)</f>
        <v/>
      </c>
      <c r="E786" s="6">
        <f>D786*(Model!$B$5-C786)-Model!$B$7</f>
        <v/>
      </c>
    </row>
    <row r="787">
      <c r="A787" t="n">
        <v>786</v>
      </c>
      <c r="B787" s="4">
        <f>MAX(0,_xlfn.NORM.INV(RAND(),Model!$B$4,Model!$B$11))</f>
        <v/>
      </c>
      <c r="C787" s="12">
        <f>Model!$B$12+(Model!$B$13-Model!$B$12)*RAND()</f>
        <v/>
      </c>
      <c r="D787" s="4">
        <f>MIN(B787,Model!$B$8)</f>
        <v/>
      </c>
      <c r="E787" s="6">
        <f>D787*(Model!$B$5-C787)-Model!$B$7</f>
        <v/>
      </c>
    </row>
    <row r="788">
      <c r="A788" t="n">
        <v>787</v>
      </c>
      <c r="B788" s="4">
        <f>MAX(0,_xlfn.NORM.INV(RAND(),Model!$B$4,Model!$B$11))</f>
        <v/>
      </c>
      <c r="C788" s="12">
        <f>Model!$B$12+(Model!$B$13-Model!$B$12)*RAND()</f>
        <v/>
      </c>
      <c r="D788" s="4">
        <f>MIN(B788,Model!$B$8)</f>
        <v/>
      </c>
      <c r="E788" s="6">
        <f>D788*(Model!$B$5-C788)-Model!$B$7</f>
        <v/>
      </c>
    </row>
    <row r="789">
      <c r="A789" t="n">
        <v>788</v>
      </c>
      <c r="B789" s="4">
        <f>MAX(0,_xlfn.NORM.INV(RAND(),Model!$B$4,Model!$B$11))</f>
        <v/>
      </c>
      <c r="C789" s="12">
        <f>Model!$B$12+(Model!$B$13-Model!$B$12)*RAND()</f>
        <v/>
      </c>
      <c r="D789" s="4">
        <f>MIN(B789,Model!$B$8)</f>
        <v/>
      </c>
      <c r="E789" s="6">
        <f>D789*(Model!$B$5-C789)-Model!$B$7</f>
        <v/>
      </c>
    </row>
    <row r="790">
      <c r="A790" t="n">
        <v>789</v>
      </c>
      <c r="B790" s="4">
        <f>MAX(0,_xlfn.NORM.INV(RAND(),Model!$B$4,Model!$B$11))</f>
        <v/>
      </c>
      <c r="C790" s="12">
        <f>Model!$B$12+(Model!$B$13-Model!$B$12)*RAND()</f>
        <v/>
      </c>
      <c r="D790" s="4">
        <f>MIN(B790,Model!$B$8)</f>
        <v/>
      </c>
      <c r="E790" s="6">
        <f>D790*(Model!$B$5-C790)-Model!$B$7</f>
        <v/>
      </c>
    </row>
    <row r="791">
      <c r="A791" t="n">
        <v>790</v>
      </c>
      <c r="B791" s="4">
        <f>MAX(0,_xlfn.NORM.INV(RAND(),Model!$B$4,Model!$B$11))</f>
        <v/>
      </c>
      <c r="C791" s="12">
        <f>Model!$B$12+(Model!$B$13-Model!$B$12)*RAND()</f>
        <v/>
      </c>
      <c r="D791" s="4">
        <f>MIN(B791,Model!$B$8)</f>
        <v/>
      </c>
      <c r="E791" s="6">
        <f>D791*(Model!$B$5-C791)-Model!$B$7</f>
        <v/>
      </c>
    </row>
    <row r="792">
      <c r="A792" t="n">
        <v>791</v>
      </c>
      <c r="B792" s="4">
        <f>MAX(0,_xlfn.NORM.INV(RAND(),Model!$B$4,Model!$B$11))</f>
        <v/>
      </c>
      <c r="C792" s="12">
        <f>Model!$B$12+(Model!$B$13-Model!$B$12)*RAND()</f>
        <v/>
      </c>
      <c r="D792" s="4">
        <f>MIN(B792,Model!$B$8)</f>
        <v/>
      </c>
      <c r="E792" s="6">
        <f>D792*(Model!$B$5-C792)-Model!$B$7</f>
        <v/>
      </c>
    </row>
    <row r="793">
      <c r="A793" t="n">
        <v>792</v>
      </c>
      <c r="B793" s="4">
        <f>MAX(0,_xlfn.NORM.INV(RAND(),Model!$B$4,Model!$B$11))</f>
        <v/>
      </c>
      <c r="C793" s="12">
        <f>Model!$B$12+(Model!$B$13-Model!$B$12)*RAND()</f>
        <v/>
      </c>
      <c r="D793" s="4">
        <f>MIN(B793,Model!$B$8)</f>
        <v/>
      </c>
      <c r="E793" s="6">
        <f>D793*(Model!$B$5-C793)-Model!$B$7</f>
        <v/>
      </c>
    </row>
    <row r="794">
      <c r="A794" t="n">
        <v>793</v>
      </c>
      <c r="B794" s="4">
        <f>MAX(0,_xlfn.NORM.INV(RAND(),Model!$B$4,Model!$B$11))</f>
        <v/>
      </c>
      <c r="C794" s="12">
        <f>Model!$B$12+(Model!$B$13-Model!$B$12)*RAND()</f>
        <v/>
      </c>
      <c r="D794" s="4">
        <f>MIN(B794,Model!$B$8)</f>
        <v/>
      </c>
      <c r="E794" s="6">
        <f>D794*(Model!$B$5-C794)-Model!$B$7</f>
        <v/>
      </c>
    </row>
    <row r="795">
      <c r="A795" t="n">
        <v>794</v>
      </c>
      <c r="B795" s="4">
        <f>MAX(0,_xlfn.NORM.INV(RAND(),Model!$B$4,Model!$B$11))</f>
        <v/>
      </c>
      <c r="C795" s="12">
        <f>Model!$B$12+(Model!$B$13-Model!$B$12)*RAND()</f>
        <v/>
      </c>
      <c r="D795" s="4">
        <f>MIN(B795,Model!$B$8)</f>
        <v/>
      </c>
      <c r="E795" s="6">
        <f>D795*(Model!$B$5-C795)-Model!$B$7</f>
        <v/>
      </c>
    </row>
    <row r="796">
      <c r="A796" t="n">
        <v>795</v>
      </c>
      <c r="B796" s="4">
        <f>MAX(0,_xlfn.NORM.INV(RAND(),Model!$B$4,Model!$B$11))</f>
        <v/>
      </c>
      <c r="C796" s="12">
        <f>Model!$B$12+(Model!$B$13-Model!$B$12)*RAND()</f>
        <v/>
      </c>
      <c r="D796" s="4">
        <f>MIN(B796,Model!$B$8)</f>
        <v/>
      </c>
      <c r="E796" s="6">
        <f>D796*(Model!$B$5-C796)-Model!$B$7</f>
        <v/>
      </c>
    </row>
    <row r="797">
      <c r="A797" t="n">
        <v>796</v>
      </c>
      <c r="B797" s="4">
        <f>MAX(0,_xlfn.NORM.INV(RAND(),Model!$B$4,Model!$B$11))</f>
        <v/>
      </c>
      <c r="C797" s="12">
        <f>Model!$B$12+(Model!$B$13-Model!$B$12)*RAND()</f>
        <v/>
      </c>
      <c r="D797" s="4">
        <f>MIN(B797,Model!$B$8)</f>
        <v/>
      </c>
      <c r="E797" s="6">
        <f>D797*(Model!$B$5-C797)-Model!$B$7</f>
        <v/>
      </c>
    </row>
    <row r="798">
      <c r="A798" t="n">
        <v>797</v>
      </c>
      <c r="B798" s="4">
        <f>MAX(0,_xlfn.NORM.INV(RAND(),Model!$B$4,Model!$B$11))</f>
        <v/>
      </c>
      <c r="C798" s="12">
        <f>Model!$B$12+(Model!$B$13-Model!$B$12)*RAND()</f>
        <v/>
      </c>
      <c r="D798" s="4">
        <f>MIN(B798,Model!$B$8)</f>
        <v/>
      </c>
      <c r="E798" s="6">
        <f>D798*(Model!$B$5-C798)-Model!$B$7</f>
        <v/>
      </c>
    </row>
    <row r="799">
      <c r="A799" t="n">
        <v>798</v>
      </c>
      <c r="B799" s="4">
        <f>MAX(0,_xlfn.NORM.INV(RAND(),Model!$B$4,Model!$B$11))</f>
        <v/>
      </c>
      <c r="C799" s="12">
        <f>Model!$B$12+(Model!$B$13-Model!$B$12)*RAND()</f>
        <v/>
      </c>
      <c r="D799" s="4">
        <f>MIN(B799,Model!$B$8)</f>
        <v/>
      </c>
      <c r="E799" s="6">
        <f>D799*(Model!$B$5-C799)-Model!$B$7</f>
        <v/>
      </c>
    </row>
    <row r="800">
      <c r="A800" t="n">
        <v>799</v>
      </c>
      <c r="B800" s="4">
        <f>MAX(0,_xlfn.NORM.INV(RAND(),Model!$B$4,Model!$B$11))</f>
        <v/>
      </c>
      <c r="C800" s="12">
        <f>Model!$B$12+(Model!$B$13-Model!$B$12)*RAND()</f>
        <v/>
      </c>
      <c r="D800" s="4">
        <f>MIN(B800,Model!$B$8)</f>
        <v/>
      </c>
      <c r="E800" s="6">
        <f>D800*(Model!$B$5-C800)-Model!$B$7</f>
        <v/>
      </c>
    </row>
    <row r="801">
      <c r="A801" t="n">
        <v>800</v>
      </c>
      <c r="B801" s="4">
        <f>MAX(0,_xlfn.NORM.INV(RAND(),Model!$B$4,Model!$B$11))</f>
        <v/>
      </c>
      <c r="C801" s="12">
        <f>Model!$B$12+(Model!$B$13-Model!$B$12)*RAND()</f>
        <v/>
      </c>
      <c r="D801" s="4">
        <f>MIN(B801,Model!$B$8)</f>
        <v/>
      </c>
      <c r="E801" s="6">
        <f>D801*(Model!$B$5-C801)-Model!$B$7</f>
        <v/>
      </c>
    </row>
    <row r="802">
      <c r="A802" t="n">
        <v>801</v>
      </c>
      <c r="B802" s="4">
        <f>MAX(0,_xlfn.NORM.INV(RAND(),Model!$B$4,Model!$B$11))</f>
        <v/>
      </c>
      <c r="C802" s="12">
        <f>Model!$B$12+(Model!$B$13-Model!$B$12)*RAND()</f>
        <v/>
      </c>
      <c r="D802" s="4">
        <f>MIN(B802,Model!$B$8)</f>
        <v/>
      </c>
      <c r="E802" s="6">
        <f>D802*(Model!$B$5-C802)-Model!$B$7</f>
        <v/>
      </c>
    </row>
    <row r="803">
      <c r="A803" t="n">
        <v>802</v>
      </c>
      <c r="B803" s="4">
        <f>MAX(0,_xlfn.NORM.INV(RAND(),Model!$B$4,Model!$B$11))</f>
        <v/>
      </c>
      <c r="C803" s="12">
        <f>Model!$B$12+(Model!$B$13-Model!$B$12)*RAND()</f>
        <v/>
      </c>
      <c r="D803" s="4">
        <f>MIN(B803,Model!$B$8)</f>
        <v/>
      </c>
      <c r="E803" s="6">
        <f>D803*(Model!$B$5-C803)-Model!$B$7</f>
        <v/>
      </c>
    </row>
    <row r="804">
      <c r="A804" t="n">
        <v>803</v>
      </c>
      <c r="B804" s="4">
        <f>MAX(0,_xlfn.NORM.INV(RAND(),Model!$B$4,Model!$B$11))</f>
        <v/>
      </c>
      <c r="C804" s="12">
        <f>Model!$B$12+(Model!$B$13-Model!$B$12)*RAND()</f>
        <v/>
      </c>
      <c r="D804" s="4">
        <f>MIN(B804,Model!$B$8)</f>
        <v/>
      </c>
      <c r="E804" s="6">
        <f>D804*(Model!$B$5-C804)-Model!$B$7</f>
        <v/>
      </c>
    </row>
    <row r="805">
      <c r="A805" t="n">
        <v>804</v>
      </c>
      <c r="B805" s="4">
        <f>MAX(0,_xlfn.NORM.INV(RAND(),Model!$B$4,Model!$B$11))</f>
        <v/>
      </c>
      <c r="C805" s="12">
        <f>Model!$B$12+(Model!$B$13-Model!$B$12)*RAND()</f>
        <v/>
      </c>
      <c r="D805" s="4">
        <f>MIN(B805,Model!$B$8)</f>
        <v/>
      </c>
      <c r="E805" s="6">
        <f>D805*(Model!$B$5-C805)-Model!$B$7</f>
        <v/>
      </c>
    </row>
    <row r="806">
      <c r="A806" t="n">
        <v>805</v>
      </c>
      <c r="B806" s="4">
        <f>MAX(0,_xlfn.NORM.INV(RAND(),Model!$B$4,Model!$B$11))</f>
        <v/>
      </c>
      <c r="C806" s="12">
        <f>Model!$B$12+(Model!$B$13-Model!$B$12)*RAND()</f>
        <v/>
      </c>
      <c r="D806" s="4">
        <f>MIN(B806,Model!$B$8)</f>
        <v/>
      </c>
      <c r="E806" s="6">
        <f>D806*(Model!$B$5-C806)-Model!$B$7</f>
        <v/>
      </c>
    </row>
    <row r="807">
      <c r="A807" t="n">
        <v>806</v>
      </c>
      <c r="B807" s="4">
        <f>MAX(0,_xlfn.NORM.INV(RAND(),Model!$B$4,Model!$B$11))</f>
        <v/>
      </c>
      <c r="C807" s="12">
        <f>Model!$B$12+(Model!$B$13-Model!$B$12)*RAND()</f>
        <v/>
      </c>
      <c r="D807" s="4">
        <f>MIN(B807,Model!$B$8)</f>
        <v/>
      </c>
      <c r="E807" s="6">
        <f>D807*(Model!$B$5-C807)-Model!$B$7</f>
        <v/>
      </c>
    </row>
    <row r="808">
      <c r="A808" t="n">
        <v>807</v>
      </c>
      <c r="B808" s="4">
        <f>MAX(0,_xlfn.NORM.INV(RAND(),Model!$B$4,Model!$B$11))</f>
        <v/>
      </c>
      <c r="C808" s="12">
        <f>Model!$B$12+(Model!$B$13-Model!$B$12)*RAND()</f>
        <v/>
      </c>
      <c r="D808" s="4">
        <f>MIN(B808,Model!$B$8)</f>
        <v/>
      </c>
      <c r="E808" s="6">
        <f>D808*(Model!$B$5-C808)-Model!$B$7</f>
        <v/>
      </c>
    </row>
    <row r="809">
      <c r="A809" t="n">
        <v>808</v>
      </c>
      <c r="B809" s="4">
        <f>MAX(0,_xlfn.NORM.INV(RAND(),Model!$B$4,Model!$B$11))</f>
        <v/>
      </c>
      <c r="C809" s="12">
        <f>Model!$B$12+(Model!$B$13-Model!$B$12)*RAND()</f>
        <v/>
      </c>
      <c r="D809" s="4">
        <f>MIN(B809,Model!$B$8)</f>
        <v/>
      </c>
      <c r="E809" s="6">
        <f>D809*(Model!$B$5-C809)-Model!$B$7</f>
        <v/>
      </c>
    </row>
    <row r="810">
      <c r="A810" t="n">
        <v>809</v>
      </c>
      <c r="B810" s="4">
        <f>MAX(0,_xlfn.NORM.INV(RAND(),Model!$B$4,Model!$B$11))</f>
        <v/>
      </c>
      <c r="C810" s="12">
        <f>Model!$B$12+(Model!$B$13-Model!$B$12)*RAND()</f>
        <v/>
      </c>
      <c r="D810" s="4">
        <f>MIN(B810,Model!$B$8)</f>
        <v/>
      </c>
      <c r="E810" s="6">
        <f>D810*(Model!$B$5-C810)-Model!$B$7</f>
        <v/>
      </c>
    </row>
    <row r="811">
      <c r="A811" t="n">
        <v>810</v>
      </c>
      <c r="B811" s="4">
        <f>MAX(0,_xlfn.NORM.INV(RAND(),Model!$B$4,Model!$B$11))</f>
        <v/>
      </c>
      <c r="C811" s="12">
        <f>Model!$B$12+(Model!$B$13-Model!$B$12)*RAND()</f>
        <v/>
      </c>
      <c r="D811" s="4">
        <f>MIN(B811,Model!$B$8)</f>
        <v/>
      </c>
      <c r="E811" s="6">
        <f>D811*(Model!$B$5-C811)-Model!$B$7</f>
        <v/>
      </c>
    </row>
    <row r="812">
      <c r="A812" t="n">
        <v>811</v>
      </c>
      <c r="B812" s="4">
        <f>MAX(0,_xlfn.NORM.INV(RAND(),Model!$B$4,Model!$B$11))</f>
        <v/>
      </c>
      <c r="C812" s="12">
        <f>Model!$B$12+(Model!$B$13-Model!$B$12)*RAND()</f>
        <v/>
      </c>
      <c r="D812" s="4">
        <f>MIN(B812,Model!$B$8)</f>
        <v/>
      </c>
      <c r="E812" s="6">
        <f>D812*(Model!$B$5-C812)-Model!$B$7</f>
        <v/>
      </c>
    </row>
    <row r="813">
      <c r="A813" t="n">
        <v>812</v>
      </c>
      <c r="B813" s="4">
        <f>MAX(0,_xlfn.NORM.INV(RAND(),Model!$B$4,Model!$B$11))</f>
        <v/>
      </c>
      <c r="C813" s="12">
        <f>Model!$B$12+(Model!$B$13-Model!$B$12)*RAND()</f>
        <v/>
      </c>
      <c r="D813" s="4">
        <f>MIN(B813,Model!$B$8)</f>
        <v/>
      </c>
      <c r="E813" s="6">
        <f>D813*(Model!$B$5-C813)-Model!$B$7</f>
        <v/>
      </c>
    </row>
    <row r="814">
      <c r="A814" t="n">
        <v>813</v>
      </c>
      <c r="B814" s="4">
        <f>MAX(0,_xlfn.NORM.INV(RAND(),Model!$B$4,Model!$B$11))</f>
        <v/>
      </c>
      <c r="C814" s="12">
        <f>Model!$B$12+(Model!$B$13-Model!$B$12)*RAND()</f>
        <v/>
      </c>
      <c r="D814" s="4">
        <f>MIN(B814,Model!$B$8)</f>
        <v/>
      </c>
      <c r="E814" s="6">
        <f>D814*(Model!$B$5-C814)-Model!$B$7</f>
        <v/>
      </c>
    </row>
    <row r="815">
      <c r="A815" t="n">
        <v>814</v>
      </c>
      <c r="B815" s="4">
        <f>MAX(0,_xlfn.NORM.INV(RAND(),Model!$B$4,Model!$B$11))</f>
        <v/>
      </c>
      <c r="C815" s="12">
        <f>Model!$B$12+(Model!$B$13-Model!$B$12)*RAND()</f>
        <v/>
      </c>
      <c r="D815" s="4">
        <f>MIN(B815,Model!$B$8)</f>
        <v/>
      </c>
      <c r="E815" s="6">
        <f>D815*(Model!$B$5-C815)-Model!$B$7</f>
        <v/>
      </c>
    </row>
    <row r="816">
      <c r="A816" t="n">
        <v>815</v>
      </c>
      <c r="B816" s="4">
        <f>MAX(0,_xlfn.NORM.INV(RAND(),Model!$B$4,Model!$B$11))</f>
        <v/>
      </c>
      <c r="C816" s="12">
        <f>Model!$B$12+(Model!$B$13-Model!$B$12)*RAND()</f>
        <v/>
      </c>
      <c r="D816" s="4">
        <f>MIN(B816,Model!$B$8)</f>
        <v/>
      </c>
      <c r="E816" s="6">
        <f>D816*(Model!$B$5-C816)-Model!$B$7</f>
        <v/>
      </c>
    </row>
    <row r="817">
      <c r="A817" t="n">
        <v>816</v>
      </c>
      <c r="B817" s="4">
        <f>MAX(0,_xlfn.NORM.INV(RAND(),Model!$B$4,Model!$B$11))</f>
        <v/>
      </c>
      <c r="C817" s="12">
        <f>Model!$B$12+(Model!$B$13-Model!$B$12)*RAND()</f>
        <v/>
      </c>
      <c r="D817" s="4">
        <f>MIN(B817,Model!$B$8)</f>
        <v/>
      </c>
      <c r="E817" s="6">
        <f>D817*(Model!$B$5-C817)-Model!$B$7</f>
        <v/>
      </c>
    </row>
    <row r="818">
      <c r="A818" t="n">
        <v>817</v>
      </c>
      <c r="B818" s="4">
        <f>MAX(0,_xlfn.NORM.INV(RAND(),Model!$B$4,Model!$B$11))</f>
        <v/>
      </c>
      <c r="C818" s="12">
        <f>Model!$B$12+(Model!$B$13-Model!$B$12)*RAND()</f>
        <v/>
      </c>
      <c r="D818" s="4">
        <f>MIN(B818,Model!$B$8)</f>
        <v/>
      </c>
      <c r="E818" s="6">
        <f>D818*(Model!$B$5-C818)-Model!$B$7</f>
        <v/>
      </c>
    </row>
    <row r="819">
      <c r="A819" t="n">
        <v>818</v>
      </c>
      <c r="B819" s="4">
        <f>MAX(0,_xlfn.NORM.INV(RAND(),Model!$B$4,Model!$B$11))</f>
        <v/>
      </c>
      <c r="C819" s="12">
        <f>Model!$B$12+(Model!$B$13-Model!$B$12)*RAND()</f>
        <v/>
      </c>
      <c r="D819" s="4">
        <f>MIN(B819,Model!$B$8)</f>
        <v/>
      </c>
      <c r="E819" s="6">
        <f>D819*(Model!$B$5-C819)-Model!$B$7</f>
        <v/>
      </c>
    </row>
    <row r="820">
      <c r="A820" t="n">
        <v>819</v>
      </c>
      <c r="B820" s="4">
        <f>MAX(0,_xlfn.NORM.INV(RAND(),Model!$B$4,Model!$B$11))</f>
        <v/>
      </c>
      <c r="C820" s="12">
        <f>Model!$B$12+(Model!$B$13-Model!$B$12)*RAND()</f>
        <v/>
      </c>
      <c r="D820" s="4">
        <f>MIN(B820,Model!$B$8)</f>
        <v/>
      </c>
      <c r="E820" s="6">
        <f>D820*(Model!$B$5-C820)-Model!$B$7</f>
        <v/>
      </c>
    </row>
    <row r="821">
      <c r="A821" t="n">
        <v>820</v>
      </c>
      <c r="B821" s="4">
        <f>MAX(0,_xlfn.NORM.INV(RAND(),Model!$B$4,Model!$B$11))</f>
        <v/>
      </c>
      <c r="C821" s="12">
        <f>Model!$B$12+(Model!$B$13-Model!$B$12)*RAND()</f>
        <v/>
      </c>
      <c r="D821" s="4">
        <f>MIN(B821,Model!$B$8)</f>
        <v/>
      </c>
      <c r="E821" s="6">
        <f>D821*(Model!$B$5-C821)-Model!$B$7</f>
        <v/>
      </c>
    </row>
    <row r="822">
      <c r="A822" t="n">
        <v>821</v>
      </c>
      <c r="B822" s="4">
        <f>MAX(0,_xlfn.NORM.INV(RAND(),Model!$B$4,Model!$B$11))</f>
        <v/>
      </c>
      <c r="C822" s="12">
        <f>Model!$B$12+(Model!$B$13-Model!$B$12)*RAND()</f>
        <v/>
      </c>
      <c r="D822" s="4">
        <f>MIN(B822,Model!$B$8)</f>
        <v/>
      </c>
      <c r="E822" s="6">
        <f>D822*(Model!$B$5-C822)-Model!$B$7</f>
        <v/>
      </c>
    </row>
    <row r="823">
      <c r="A823" t="n">
        <v>822</v>
      </c>
      <c r="B823" s="4">
        <f>MAX(0,_xlfn.NORM.INV(RAND(),Model!$B$4,Model!$B$11))</f>
        <v/>
      </c>
      <c r="C823" s="12">
        <f>Model!$B$12+(Model!$B$13-Model!$B$12)*RAND()</f>
        <v/>
      </c>
      <c r="D823" s="4">
        <f>MIN(B823,Model!$B$8)</f>
        <v/>
      </c>
      <c r="E823" s="6">
        <f>D823*(Model!$B$5-C823)-Model!$B$7</f>
        <v/>
      </c>
    </row>
    <row r="824">
      <c r="A824" t="n">
        <v>823</v>
      </c>
      <c r="B824" s="4">
        <f>MAX(0,_xlfn.NORM.INV(RAND(),Model!$B$4,Model!$B$11))</f>
        <v/>
      </c>
      <c r="C824" s="12">
        <f>Model!$B$12+(Model!$B$13-Model!$B$12)*RAND()</f>
        <v/>
      </c>
      <c r="D824" s="4">
        <f>MIN(B824,Model!$B$8)</f>
        <v/>
      </c>
      <c r="E824" s="6">
        <f>D824*(Model!$B$5-C824)-Model!$B$7</f>
        <v/>
      </c>
    </row>
    <row r="825">
      <c r="A825" t="n">
        <v>824</v>
      </c>
      <c r="B825" s="4">
        <f>MAX(0,_xlfn.NORM.INV(RAND(),Model!$B$4,Model!$B$11))</f>
        <v/>
      </c>
      <c r="C825" s="12">
        <f>Model!$B$12+(Model!$B$13-Model!$B$12)*RAND()</f>
        <v/>
      </c>
      <c r="D825" s="4">
        <f>MIN(B825,Model!$B$8)</f>
        <v/>
      </c>
      <c r="E825" s="6">
        <f>D825*(Model!$B$5-C825)-Model!$B$7</f>
        <v/>
      </c>
    </row>
    <row r="826">
      <c r="A826" t="n">
        <v>825</v>
      </c>
      <c r="B826" s="4">
        <f>MAX(0,_xlfn.NORM.INV(RAND(),Model!$B$4,Model!$B$11))</f>
        <v/>
      </c>
      <c r="C826" s="12">
        <f>Model!$B$12+(Model!$B$13-Model!$B$12)*RAND()</f>
        <v/>
      </c>
      <c r="D826" s="4">
        <f>MIN(B826,Model!$B$8)</f>
        <v/>
      </c>
      <c r="E826" s="6">
        <f>D826*(Model!$B$5-C826)-Model!$B$7</f>
        <v/>
      </c>
    </row>
    <row r="827">
      <c r="A827" t="n">
        <v>826</v>
      </c>
      <c r="B827" s="4">
        <f>MAX(0,_xlfn.NORM.INV(RAND(),Model!$B$4,Model!$B$11))</f>
        <v/>
      </c>
      <c r="C827" s="12">
        <f>Model!$B$12+(Model!$B$13-Model!$B$12)*RAND()</f>
        <v/>
      </c>
      <c r="D827" s="4">
        <f>MIN(B827,Model!$B$8)</f>
        <v/>
      </c>
      <c r="E827" s="6">
        <f>D827*(Model!$B$5-C827)-Model!$B$7</f>
        <v/>
      </c>
    </row>
    <row r="828">
      <c r="A828" t="n">
        <v>827</v>
      </c>
      <c r="B828" s="4">
        <f>MAX(0,_xlfn.NORM.INV(RAND(),Model!$B$4,Model!$B$11))</f>
        <v/>
      </c>
      <c r="C828" s="12">
        <f>Model!$B$12+(Model!$B$13-Model!$B$12)*RAND()</f>
        <v/>
      </c>
      <c r="D828" s="4">
        <f>MIN(B828,Model!$B$8)</f>
        <v/>
      </c>
      <c r="E828" s="6">
        <f>D828*(Model!$B$5-C828)-Model!$B$7</f>
        <v/>
      </c>
    </row>
    <row r="829">
      <c r="A829" t="n">
        <v>828</v>
      </c>
      <c r="B829" s="4">
        <f>MAX(0,_xlfn.NORM.INV(RAND(),Model!$B$4,Model!$B$11))</f>
        <v/>
      </c>
      <c r="C829" s="12">
        <f>Model!$B$12+(Model!$B$13-Model!$B$12)*RAND()</f>
        <v/>
      </c>
      <c r="D829" s="4">
        <f>MIN(B829,Model!$B$8)</f>
        <v/>
      </c>
      <c r="E829" s="6">
        <f>D829*(Model!$B$5-C829)-Model!$B$7</f>
        <v/>
      </c>
    </row>
    <row r="830">
      <c r="A830" t="n">
        <v>829</v>
      </c>
      <c r="B830" s="4">
        <f>MAX(0,_xlfn.NORM.INV(RAND(),Model!$B$4,Model!$B$11))</f>
        <v/>
      </c>
      <c r="C830" s="12">
        <f>Model!$B$12+(Model!$B$13-Model!$B$12)*RAND()</f>
        <v/>
      </c>
      <c r="D830" s="4">
        <f>MIN(B830,Model!$B$8)</f>
        <v/>
      </c>
      <c r="E830" s="6">
        <f>D830*(Model!$B$5-C830)-Model!$B$7</f>
        <v/>
      </c>
    </row>
    <row r="831">
      <c r="A831" t="n">
        <v>830</v>
      </c>
      <c r="B831" s="4">
        <f>MAX(0,_xlfn.NORM.INV(RAND(),Model!$B$4,Model!$B$11))</f>
        <v/>
      </c>
      <c r="C831" s="12">
        <f>Model!$B$12+(Model!$B$13-Model!$B$12)*RAND()</f>
        <v/>
      </c>
      <c r="D831" s="4">
        <f>MIN(B831,Model!$B$8)</f>
        <v/>
      </c>
      <c r="E831" s="6">
        <f>D831*(Model!$B$5-C831)-Model!$B$7</f>
        <v/>
      </c>
    </row>
    <row r="832">
      <c r="A832" t="n">
        <v>831</v>
      </c>
      <c r="B832" s="4">
        <f>MAX(0,_xlfn.NORM.INV(RAND(),Model!$B$4,Model!$B$11))</f>
        <v/>
      </c>
      <c r="C832" s="12">
        <f>Model!$B$12+(Model!$B$13-Model!$B$12)*RAND()</f>
        <v/>
      </c>
      <c r="D832" s="4">
        <f>MIN(B832,Model!$B$8)</f>
        <v/>
      </c>
      <c r="E832" s="6">
        <f>D832*(Model!$B$5-C832)-Model!$B$7</f>
        <v/>
      </c>
    </row>
    <row r="833">
      <c r="A833" t="n">
        <v>832</v>
      </c>
      <c r="B833" s="4">
        <f>MAX(0,_xlfn.NORM.INV(RAND(),Model!$B$4,Model!$B$11))</f>
        <v/>
      </c>
      <c r="C833" s="12">
        <f>Model!$B$12+(Model!$B$13-Model!$B$12)*RAND()</f>
        <v/>
      </c>
      <c r="D833" s="4">
        <f>MIN(B833,Model!$B$8)</f>
        <v/>
      </c>
      <c r="E833" s="6">
        <f>D833*(Model!$B$5-C833)-Model!$B$7</f>
        <v/>
      </c>
    </row>
    <row r="834">
      <c r="A834" t="n">
        <v>833</v>
      </c>
      <c r="B834" s="4">
        <f>MAX(0,_xlfn.NORM.INV(RAND(),Model!$B$4,Model!$B$11))</f>
        <v/>
      </c>
      <c r="C834" s="12">
        <f>Model!$B$12+(Model!$B$13-Model!$B$12)*RAND()</f>
        <v/>
      </c>
      <c r="D834" s="4">
        <f>MIN(B834,Model!$B$8)</f>
        <v/>
      </c>
      <c r="E834" s="6">
        <f>D834*(Model!$B$5-C834)-Model!$B$7</f>
        <v/>
      </c>
    </row>
    <row r="835">
      <c r="A835" t="n">
        <v>834</v>
      </c>
      <c r="B835" s="4">
        <f>MAX(0,_xlfn.NORM.INV(RAND(),Model!$B$4,Model!$B$11))</f>
        <v/>
      </c>
      <c r="C835" s="12">
        <f>Model!$B$12+(Model!$B$13-Model!$B$12)*RAND()</f>
        <v/>
      </c>
      <c r="D835" s="4">
        <f>MIN(B835,Model!$B$8)</f>
        <v/>
      </c>
      <c r="E835" s="6">
        <f>D835*(Model!$B$5-C835)-Model!$B$7</f>
        <v/>
      </c>
    </row>
    <row r="836">
      <c r="A836" t="n">
        <v>835</v>
      </c>
      <c r="B836" s="4">
        <f>MAX(0,_xlfn.NORM.INV(RAND(),Model!$B$4,Model!$B$11))</f>
        <v/>
      </c>
      <c r="C836" s="12">
        <f>Model!$B$12+(Model!$B$13-Model!$B$12)*RAND()</f>
        <v/>
      </c>
      <c r="D836" s="4">
        <f>MIN(B836,Model!$B$8)</f>
        <v/>
      </c>
      <c r="E836" s="6">
        <f>D836*(Model!$B$5-C836)-Model!$B$7</f>
        <v/>
      </c>
    </row>
    <row r="837">
      <c r="A837" t="n">
        <v>836</v>
      </c>
      <c r="B837" s="4">
        <f>MAX(0,_xlfn.NORM.INV(RAND(),Model!$B$4,Model!$B$11))</f>
        <v/>
      </c>
      <c r="C837" s="12">
        <f>Model!$B$12+(Model!$B$13-Model!$B$12)*RAND()</f>
        <v/>
      </c>
      <c r="D837" s="4">
        <f>MIN(B837,Model!$B$8)</f>
        <v/>
      </c>
      <c r="E837" s="6">
        <f>D837*(Model!$B$5-C837)-Model!$B$7</f>
        <v/>
      </c>
    </row>
    <row r="838">
      <c r="A838" t="n">
        <v>837</v>
      </c>
      <c r="B838" s="4">
        <f>MAX(0,_xlfn.NORM.INV(RAND(),Model!$B$4,Model!$B$11))</f>
        <v/>
      </c>
      <c r="C838" s="12">
        <f>Model!$B$12+(Model!$B$13-Model!$B$12)*RAND()</f>
        <v/>
      </c>
      <c r="D838" s="4">
        <f>MIN(B838,Model!$B$8)</f>
        <v/>
      </c>
      <c r="E838" s="6">
        <f>D838*(Model!$B$5-C838)-Model!$B$7</f>
        <v/>
      </c>
    </row>
    <row r="839">
      <c r="A839" t="n">
        <v>838</v>
      </c>
      <c r="B839" s="4">
        <f>MAX(0,_xlfn.NORM.INV(RAND(),Model!$B$4,Model!$B$11))</f>
        <v/>
      </c>
      <c r="C839" s="12">
        <f>Model!$B$12+(Model!$B$13-Model!$B$12)*RAND()</f>
        <v/>
      </c>
      <c r="D839" s="4">
        <f>MIN(B839,Model!$B$8)</f>
        <v/>
      </c>
      <c r="E839" s="6">
        <f>D839*(Model!$B$5-C839)-Model!$B$7</f>
        <v/>
      </c>
    </row>
    <row r="840">
      <c r="A840" t="n">
        <v>839</v>
      </c>
      <c r="B840" s="4">
        <f>MAX(0,_xlfn.NORM.INV(RAND(),Model!$B$4,Model!$B$11))</f>
        <v/>
      </c>
      <c r="C840" s="12">
        <f>Model!$B$12+(Model!$B$13-Model!$B$12)*RAND()</f>
        <v/>
      </c>
      <c r="D840" s="4">
        <f>MIN(B840,Model!$B$8)</f>
        <v/>
      </c>
      <c r="E840" s="6">
        <f>D840*(Model!$B$5-C840)-Model!$B$7</f>
        <v/>
      </c>
    </row>
    <row r="841">
      <c r="A841" t="n">
        <v>840</v>
      </c>
      <c r="B841" s="4">
        <f>MAX(0,_xlfn.NORM.INV(RAND(),Model!$B$4,Model!$B$11))</f>
        <v/>
      </c>
      <c r="C841" s="12">
        <f>Model!$B$12+(Model!$B$13-Model!$B$12)*RAND()</f>
        <v/>
      </c>
      <c r="D841" s="4">
        <f>MIN(B841,Model!$B$8)</f>
        <v/>
      </c>
      <c r="E841" s="6">
        <f>D841*(Model!$B$5-C841)-Model!$B$7</f>
        <v/>
      </c>
    </row>
    <row r="842">
      <c r="A842" t="n">
        <v>841</v>
      </c>
      <c r="B842" s="4">
        <f>MAX(0,_xlfn.NORM.INV(RAND(),Model!$B$4,Model!$B$11))</f>
        <v/>
      </c>
      <c r="C842" s="12">
        <f>Model!$B$12+(Model!$B$13-Model!$B$12)*RAND()</f>
        <v/>
      </c>
      <c r="D842" s="4">
        <f>MIN(B842,Model!$B$8)</f>
        <v/>
      </c>
      <c r="E842" s="6">
        <f>D842*(Model!$B$5-C842)-Model!$B$7</f>
        <v/>
      </c>
    </row>
    <row r="843">
      <c r="A843" t="n">
        <v>842</v>
      </c>
      <c r="B843" s="4">
        <f>MAX(0,_xlfn.NORM.INV(RAND(),Model!$B$4,Model!$B$11))</f>
        <v/>
      </c>
      <c r="C843" s="12">
        <f>Model!$B$12+(Model!$B$13-Model!$B$12)*RAND()</f>
        <v/>
      </c>
      <c r="D843" s="4">
        <f>MIN(B843,Model!$B$8)</f>
        <v/>
      </c>
      <c r="E843" s="6">
        <f>D843*(Model!$B$5-C843)-Model!$B$7</f>
        <v/>
      </c>
    </row>
    <row r="844">
      <c r="A844" t="n">
        <v>843</v>
      </c>
      <c r="B844" s="4">
        <f>MAX(0,_xlfn.NORM.INV(RAND(),Model!$B$4,Model!$B$11))</f>
        <v/>
      </c>
      <c r="C844" s="12">
        <f>Model!$B$12+(Model!$B$13-Model!$B$12)*RAND()</f>
        <v/>
      </c>
      <c r="D844" s="4">
        <f>MIN(B844,Model!$B$8)</f>
        <v/>
      </c>
      <c r="E844" s="6">
        <f>D844*(Model!$B$5-C844)-Model!$B$7</f>
        <v/>
      </c>
    </row>
    <row r="845">
      <c r="A845" t="n">
        <v>844</v>
      </c>
      <c r="B845" s="4">
        <f>MAX(0,_xlfn.NORM.INV(RAND(),Model!$B$4,Model!$B$11))</f>
        <v/>
      </c>
      <c r="C845" s="12">
        <f>Model!$B$12+(Model!$B$13-Model!$B$12)*RAND()</f>
        <v/>
      </c>
      <c r="D845" s="4">
        <f>MIN(B845,Model!$B$8)</f>
        <v/>
      </c>
      <c r="E845" s="6">
        <f>D845*(Model!$B$5-C845)-Model!$B$7</f>
        <v/>
      </c>
    </row>
    <row r="846">
      <c r="A846" t="n">
        <v>845</v>
      </c>
      <c r="B846" s="4">
        <f>MAX(0,_xlfn.NORM.INV(RAND(),Model!$B$4,Model!$B$11))</f>
        <v/>
      </c>
      <c r="C846" s="12">
        <f>Model!$B$12+(Model!$B$13-Model!$B$12)*RAND()</f>
        <v/>
      </c>
      <c r="D846" s="4">
        <f>MIN(B846,Model!$B$8)</f>
        <v/>
      </c>
      <c r="E846" s="6">
        <f>D846*(Model!$B$5-C846)-Model!$B$7</f>
        <v/>
      </c>
    </row>
    <row r="847">
      <c r="A847" t="n">
        <v>846</v>
      </c>
      <c r="B847" s="4">
        <f>MAX(0,_xlfn.NORM.INV(RAND(),Model!$B$4,Model!$B$11))</f>
        <v/>
      </c>
      <c r="C847" s="12">
        <f>Model!$B$12+(Model!$B$13-Model!$B$12)*RAND()</f>
        <v/>
      </c>
      <c r="D847" s="4">
        <f>MIN(B847,Model!$B$8)</f>
        <v/>
      </c>
      <c r="E847" s="6">
        <f>D847*(Model!$B$5-C847)-Model!$B$7</f>
        <v/>
      </c>
    </row>
    <row r="848">
      <c r="A848" t="n">
        <v>847</v>
      </c>
      <c r="B848" s="4">
        <f>MAX(0,_xlfn.NORM.INV(RAND(),Model!$B$4,Model!$B$11))</f>
        <v/>
      </c>
      <c r="C848" s="12">
        <f>Model!$B$12+(Model!$B$13-Model!$B$12)*RAND()</f>
        <v/>
      </c>
      <c r="D848" s="4">
        <f>MIN(B848,Model!$B$8)</f>
        <v/>
      </c>
      <c r="E848" s="6">
        <f>D848*(Model!$B$5-C848)-Model!$B$7</f>
        <v/>
      </c>
    </row>
    <row r="849">
      <c r="A849" t="n">
        <v>848</v>
      </c>
      <c r="B849" s="4">
        <f>MAX(0,_xlfn.NORM.INV(RAND(),Model!$B$4,Model!$B$11))</f>
        <v/>
      </c>
      <c r="C849" s="12">
        <f>Model!$B$12+(Model!$B$13-Model!$B$12)*RAND()</f>
        <v/>
      </c>
      <c r="D849" s="4">
        <f>MIN(B849,Model!$B$8)</f>
        <v/>
      </c>
      <c r="E849" s="6">
        <f>D849*(Model!$B$5-C849)-Model!$B$7</f>
        <v/>
      </c>
    </row>
    <row r="850">
      <c r="A850" t="n">
        <v>849</v>
      </c>
      <c r="B850" s="4">
        <f>MAX(0,_xlfn.NORM.INV(RAND(),Model!$B$4,Model!$B$11))</f>
        <v/>
      </c>
      <c r="C850" s="12">
        <f>Model!$B$12+(Model!$B$13-Model!$B$12)*RAND()</f>
        <v/>
      </c>
      <c r="D850" s="4">
        <f>MIN(B850,Model!$B$8)</f>
        <v/>
      </c>
      <c r="E850" s="6">
        <f>D850*(Model!$B$5-C850)-Model!$B$7</f>
        <v/>
      </c>
    </row>
    <row r="851">
      <c r="A851" t="n">
        <v>850</v>
      </c>
      <c r="B851" s="4">
        <f>MAX(0,_xlfn.NORM.INV(RAND(),Model!$B$4,Model!$B$11))</f>
        <v/>
      </c>
      <c r="C851" s="12">
        <f>Model!$B$12+(Model!$B$13-Model!$B$12)*RAND()</f>
        <v/>
      </c>
      <c r="D851" s="4">
        <f>MIN(B851,Model!$B$8)</f>
        <v/>
      </c>
      <c r="E851" s="6">
        <f>D851*(Model!$B$5-C851)-Model!$B$7</f>
        <v/>
      </c>
    </row>
    <row r="852">
      <c r="A852" t="n">
        <v>851</v>
      </c>
      <c r="B852" s="4">
        <f>MAX(0,_xlfn.NORM.INV(RAND(),Model!$B$4,Model!$B$11))</f>
        <v/>
      </c>
      <c r="C852" s="12">
        <f>Model!$B$12+(Model!$B$13-Model!$B$12)*RAND()</f>
        <v/>
      </c>
      <c r="D852" s="4">
        <f>MIN(B852,Model!$B$8)</f>
        <v/>
      </c>
      <c r="E852" s="6">
        <f>D852*(Model!$B$5-C852)-Model!$B$7</f>
        <v/>
      </c>
    </row>
    <row r="853">
      <c r="A853" t="n">
        <v>852</v>
      </c>
      <c r="B853" s="4">
        <f>MAX(0,_xlfn.NORM.INV(RAND(),Model!$B$4,Model!$B$11))</f>
        <v/>
      </c>
      <c r="C853" s="12">
        <f>Model!$B$12+(Model!$B$13-Model!$B$12)*RAND()</f>
        <v/>
      </c>
      <c r="D853" s="4">
        <f>MIN(B853,Model!$B$8)</f>
        <v/>
      </c>
      <c r="E853" s="6">
        <f>D853*(Model!$B$5-C853)-Model!$B$7</f>
        <v/>
      </c>
    </row>
    <row r="854">
      <c r="A854" t="n">
        <v>853</v>
      </c>
      <c r="B854" s="4">
        <f>MAX(0,_xlfn.NORM.INV(RAND(),Model!$B$4,Model!$B$11))</f>
        <v/>
      </c>
      <c r="C854" s="12">
        <f>Model!$B$12+(Model!$B$13-Model!$B$12)*RAND()</f>
        <v/>
      </c>
      <c r="D854" s="4">
        <f>MIN(B854,Model!$B$8)</f>
        <v/>
      </c>
      <c r="E854" s="6">
        <f>D854*(Model!$B$5-C854)-Model!$B$7</f>
        <v/>
      </c>
    </row>
    <row r="855">
      <c r="A855" t="n">
        <v>854</v>
      </c>
      <c r="B855" s="4">
        <f>MAX(0,_xlfn.NORM.INV(RAND(),Model!$B$4,Model!$B$11))</f>
        <v/>
      </c>
      <c r="C855" s="12">
        <f>Model!$B$12+(Model!$B$13-Model!$B$12)*RAND()</f>
        <v/>
      </c>
      <c r="D855" s="4">
        <f>MIN(B855,Model!$B$8)</f>
        <v/>
      </c>
      <c r="E855" s="6">
        <f>D855*(Model!$B$5-C855)-Model!$B$7</f>
        <v/>
      </c>
    </row>
    <row r="856">
      <c r="A856" t="n">
        <v>855</v>
      </c>
      <c r="B856" s="4">
        <f>MAX(0,_xlfn.NORM.INV(RAND(),Model!$B$4,Model!$B$11))</f>
        <v/>
      </c>
      <c r="C856" s="12">
        <f>Model!$B$12+(Model!$B$13-Model!$B$12)*RAND()</f>
        <v/>
      </c>
      <c r="D856" s="4">
        <f>MIN(B856,Model!$B$8)</f>
        <v/>
      </c>
      <c r="E856" s="6">
        <f>D856*(Model!$B$5-C856)-Model!$B$7</f>
        <v/>
      </c>
    </row>
    <row r="857">
      <c r="A857" t="n">
        <v>856</v>
      </c>
      <c r="B857" s="4">
        <f>MAX(0,_xlfn.NORM.INV(RAND(),Model!$B$4,Model!$B$11))</f>
        <v/>
      </c>
      <c r="C857" s="12">
        <f>Model!$B$12+(Model!$B$13-Model!$B$12)*RAND()</f>
        <v/>
      </c>
      <c r="D857" s="4">
        <f>MIN(B857,Model!$B$8)</f>
        <v/>
      </c>
      <c r="E857" s="6">
        <f>D857*(Model!$B$5-C857)-Model!$B$7</f>
        <v/>
      </c>
    </row>
    <row r="858">
      <c r="A858" t="n">
        <v>857</v>
      </c>
      <c r="B858" s="4">
        <f>MAX(0,_xlfn.NORM.INV(RAND(),Model!$B$4,Model!$B$11))</f>
        <v/>
      </c>
      <c r="C858" s="12">
        <f>Model!$B$12+(Model!$B$13-Model!$B$12)*RAND()</f>
        <v/>
      </c>
      <c r="D858" s="4">
        <f>MIN(B858,Model!$B$8)</f>
        <v/>
      </c>
      <c r="E858" s="6">
        <f>D858*(Model!$B$5-C858)-Model!$B$7</f>
        <v/>
      </c>
    </row>
    <row r="859">
      <c r="A859" t="n">
        <v>858</v>
      </c>
      <c r="B859" s="4">
        <f>MAX(0,_xlfn.NORM.INV(RAND(),Model!$B$4,Model!$B$11))</f>
        <v/>
      </c>
      <c r="C859" s="12">
        <f>Model!$B$12+(Model!$B$13-Model!$B$12)*RAND()</f>
        <v/>
      </c>
      <c r="D859" s="4">
        <f>MIN(B859,Model!$B$8)</f>
        <v/>
      </c>
      <c r="E859" s="6">
        <f>D859*(Model!$B$5-C859)-Model!$B$7</f>
        <v/>
      </c>
    </row>
    <row r="860">
      <c r="A860" t="n">
        <v>859</v>
      </c>
      <c r="B860" s="4">
        <f>MAX(0,_xlfn.NORM.INV(RAND(),Model!$B$4,Model!$B$11))</f>
        <v/>
      </c>
      <c r="C860" s="12">
        <f>Model!$B$12+(Model!$B$13-Model!$B$12)*RAND()</f>
        <v/>
      </c>
      <c r="D860" s="4">
        <f>MIN(B860,Model!$B$8)</f>
        <v/>
      </c>
      <c r="E860" s="6">
        <f>D860*(Model!$B$5-C860)-Model!$B$7</f>
        <v/>
      </c>
    </row>
    <row r="861">
      <c r="A861" t="n">
        <v>860</v>
      </c>
      <c r="B861" s="4">
        <f>MAX(0,_xlfn.NORM.INV(RAND(),Model!$B$4,Model!$B$11))</f>
        <v/>
      </c>
      <c r="C861" s="12">
        <f>Model!$B$12+(Model!$B$13-Model!$B$12)*RAND()</f>
        <v/>
      </c>
      <c r="D861" s="4">
        <f>MIN(B861,Model!$B$8)</f>
        <v/>
      </c>
      <c r="E861" s="6">
        <f>D861*(Model!$B$5-C861)-Model!$B$7</f>
        <v/>
      </c>
    </row>
    <row r="862">
      <c r="A862" t="n">
        <v>861</v>
      </c>
      <c r="B862" s="4">
        <f>MAX(0,_xlfn.NORM.INV(RAND(),Model!$B$4,Model!$B$11))</f>
        <v/>
      </c>
      <c r="C862" s="12">
        <f>Model!$B$12+(Model!$B$13-Model!$B$12)*RAND()</f>
        <v/>
      </c>
      <c r="D862" s="4">
        <f>MIN(B862,Model!$B$8)</f>
        <v/>
      </c>
      <c r="E862" s="6">
        <f>D862*(Model!$B$5-C862)-Model!$B$7</f>
        <v/>
      </c>
    </row>
    <row r="863">
      <c r="A863" t="n">
        <v>862</v>
      </c>
      <c r="B863" s="4">
        <f>MAX(0,_xlfn.NORM.INV(RAND(),Model!$B$4,Model!$B$11))</f>
        <v/>
      </c>
      <c r="C863" s="12">
        <f>Model!$B$12+(Model!$B$13-Model!$B$12)*RAND()</f>
        <v/>
      </c>
      <c r="D863" s="4">
        <f>MIN(B863,Model!$B$8)</f>
        <v/>
      </c>
      <c r="E863" s="6">
        <f>D863*(Model!$B$5-C863)-Model!$B$7</f>
        <v/>
      </c>
    </row>
    <row r="864">
      <c r="A864" t="n">
        <v>863</v>
      </c>
      <c r="B864" s="4">
        <f>MAX(0,_xlfn.NORM.INV(RAND(),Model!$B$4,Model!$B$11))</f>
        <v/>
      </c>
      <c r="C864" s="12">
        <f>Model!$B$12+(Model!$B$13-Model!$B$12)*RAND()</f>
        <v/>
      </c>
      <c r="D864" s="4">
        <f>MIN(B864,Model!$B$8)</f>
        <v/>
      </c>
      <c r="E864" s="6">
        <f>D864*(Model!$B$5-C864)-Model!$B$7</f>
        <v/>
      </c>
    </row>
    <row r="865">
      <c r="A865" t="n">
        <v>864</v>
      </c>
      <c r="B865" s="4">
        <f>MAX(0,_xlfn.NORM.INV(RAND(),Model!$B$4,Model!$B$11))</f>
        <v/>
      </c>
      <c r="C865" s="12">
        <f>Model!$B$12+(Model!$B$13-Model!$B$12)*RAND()</f>
        <v/>
      </c>
      <c r="D865" s="4">
        <f>MIN(B865,Model!$B$8)</f>
        <v/>
      </c>
      <c r="E865" s="6">
        <f>D865*(Model!$B$5-C865)-Model!$B$7</f>
        <v/>
      </c>
    </row>
    <row r="866">
      <c r="A866" t="n">
        <v>865</v>
      </c>
      <c r="B866" s="4">
        <f>MAX(0,_xlfn.NORM.INV(RAND(),Model!$B$4,Model!$B$11))</f>
        <v/>
      </c>
      <c r="C866" s="12">
        <f>Model!$B$12+(Model!$B$13-Model!$B$12)*RAND()</f>
        <v/>
      </c>
      <c r="D866" s="4">
        <f>MIN(B866,Model!$B$8)</f>
        <v/>
      </c>
      <c r="E866" s="6">
        <f>D866*(Model!$B$5-C866)-Model!$B$7</f>
        <v/>
      </c>
    </row>
    <row r="867">
      <c r="A867" t="n">
        <v>866</v>
      </c>
      <c r="B867" s="4">
        <f>MAX(0,_xlfn.NORM.INV(RAND(),Model!$B$4,Model!$B$11))</f>
        <v/>
      </c>
      <c r="C867" s="12">
        <f>Model!$B$12+(Model!$B$13-Model!$B$12)*RAND()</f>
        <v/>
      </c>
      <c r="D867" s="4">
        <f>MIN(B867,Model!$B$8)</f>
        <v/>
      </c>
      <c r="E867" s="6">
        <f>D867*(Model!$B$5-C867)-Model!$B$7</f>
        <v/>
      </c>
    </row>
    <row r="868">
      <c r="A868" t="n">
        <v>867</v>
      </c>
      <c r="B868" s="4">
        <f>MAX(0,_xlfn.NORM.INV(RAND(),Model!$B$4,Model!$B$11))</f>
        <v/>
      </c>
      <c r="C868" s="12">
        <f>Model!$B$12+(Model!$B$13-Model!$B$12)*RAND()</f>
        <v/>
      </c>
      <c r="D868" s="4">
        <f>MIN(B868,Model!$B$8)</f>
        <v/>
      </c>
      <c r="E868" s="6">
        <f>D868*(Model!$B$5-C868)-Model!$B$7</f>
        <v/>
      </c>
    </row>
    <row r="869">
      <c r="A869" t="n">
        <v>868</v>
      </c>
      <c r="B869" s="4">
        <f>MAX(0,_xlfn.NORM.INV(RAND(),Model!$B$4,Model!$B$11))</f>
        <v/>
      </c>
      <c r="C869" s="12">
        <f>Model!$B$12+(Model!$B$13-Model!$B$12)*RAND()</f>
        <v/>
      </c>
      <c r="D869" s="4">
        <f>MIN(B869,Model!$B$8)</f>
        <v/>
      </c>
      <c r="E869" s="6">
        <f>D869*(Model!$B$5-C869)-Model!$B$7</f>
        <v/>
      </c>
    </row>
    <row r="870">
      <c r="A870" t="n">
        <v>869</v>
      </c>
      <c r="B870" s="4">
        <f>MAX(0,_xlfn.NORM.INV(RAND(),Model!$B$4,Model!$B$11))</f>
        <v/>
      </c>
      <c r="C870" s="12">
        <f>Model!$B$12+(Model!$B$13-Model!$B$12)*RAND()</f>
        <v/>
      </c>
      <c r="D870" s="4">
        <f>MIN(B870,Model!$B$8)</f>
        <v/>
      </c>
      <c r="E870" s="6">
        <f>D870*(Model!$B$5-C870)-Model!$B$7</f>
        <v/>
      </c>
    </row>
    <row r="871">
      <c r="A871" t="n">
        <v>870</v>
      </c>
      <c r="B871" s="4">
        <f>MAX(0,_xlfn.NORM.INV(RAND(),Model!$B$4,Model!$B$11))</f>
        <v/>
      </c>
      <c r="C871" s="12">
        <f>Model!$B$12+(Model!$B$13-Model!$B$12)*RAND()</f>
        <v/>
      </c>
      <c r="D871" s="4">
        <f>MIN(B871,Model!$B$8)</f>
        <v/>
      </c>
      <c r="E871" s="6">
        <f>D871*(Model!$B$5-C871)-Model!$B$7</f>
        <v/>
      </c>
    </row>
    <row r="872">
      <c r="A872" t="n">
        <v>871</v>
      </c>
      <c r="B872" s="4">
        <f>MAX(0,_xlfn.NORM.INV(RAND(),Model!$B$4,Model!$B$11))</f>
        <v/>
      </c>
      <c r="C872" s="12">
        <f>Model!$B$12+(Model!$B$13-Model!$B$12)*RAND()</f>
        <v/>
      </c>
      <c r="D872" s="4">
        <f>MIN(B872,Model!$B$8)</f>
        <v/>
      </c>
      <c r="E872" s="6">
        <f>D872*(Model!$B$5-C872)-Model!$B$7</f>
        <v/>
      </c>
    </row>
    <row r="873">
      <c r="A873" t="n">
        <v>872</v>
      </c>
      <c r="B873" s="4">
        <f>MAX(0,_xlfn.NORM.INV(RAND(),Model!$B$4,Model!$B$11))</f>
        <v/>
      </c>
      <c r="C873" s="12">
        <f>Model!$B$12+(Model!$B$13-Model!$B$12)*RAND()</f>
        <v/>
      </c>
      <c r="D873" s="4">
        <f>MIN(B873,Model!$B$8)</f>
        <v/>
      </c>
      <c r="E873" s="6">
        <f>D873*(Model!$B$5-C873)-Model!$B$7</f>
        <v/>
      </c>
    </row>
    <row r="874">
      <c r="A874" t="n">
        <v>873</v>
      </c>
      <c r="B874" s="4">
        <f>MAX(0,_xlfn.NORM.INV(RAND(),Model!$B$4,Model!$B$11))</f>
        <v/>
      </c>
      <c r="C874" s="12">
        <f>Model!$B$12+(Model!$B$13-Model!$B$12)*RAND()</f>
        <v/>
      </c>
      <c r="D874" s="4">
        <f>MIN(B874,Model!$B$8)</f>
        <v/>
      </c>
      <c r="E874" s="6">
        <f>D874*(Model!$B$5-C874)-Model!$B$7</f>
        <v/>
      </c>
    </row>
    <row r="875">
      <c r="A875" t="n">
        <v>874</v>
      </c>
      <c r="B875" s="4">
        <f>MAX(0,_xlfn.NORM.INV(RAND(),Model!$B$4,Model!$B$11))</f>
        <v/>
      </c>
      <c r="C875" s="12">
        <f>Model!$B$12+(Model!$B$13-Model!$B$12)*RAND()</f>
        <v/>
      </c>
      <c r="D875" s="4">
        <f>MIN(B875,Model!$B$8)</f>
        <v/>
      </c>
      <c r="E875" s="6">
        <f>D875*(Model!$B$5-C875)-Model!$B$7</f>
        <v/>
      </c>
    </row>
    <row r="876">
      <c r="A876" t="n">
        <v>875</v>
      </c>
      <c r="B876" s="4">
        <f>MAX(0,_xlfn.NORM.INV(RAND(),Model!$B$4,Model!$B$11))</f>
        <v/>
      </c>
      <c r="C876" s="12">
        <f>Model!$B$12+(Model!$B$13-Model!$B$12)*RAND()</f>
        <v/>
      </c>
      <c r="D876" s="4">
        <f>MIN(B876,Model!$B$8)</f>
        <v/>
      </c>
      <c r="E876" s="6">
        <f>D876*(Model!$B$5-C876)-Model!$B$7</f>
        <v/>
      </c>
    </row>
    <row r="877">
      <c r="A877" t="n">
        <v>876</v>
      </c>
      <c r="B877" s="4">
        <f>MAX(0,_xlfn.NORM.INV(RAND(),Model!$B$4,Model!$B$11))</f>
        <v/>
      </c>
      <c r="C877" s="12">
        <f>Model!$B$12+(Model!$B$13-Model!$B$12)*RAND()</f>
        <v/>
      </c>
      <c r="D877" s="4">
        <f>MIN(B877,Model!$B$8)</f>
        <v/>
      </c>
      <c r="E877" s="6">
        <f>D877*(Model!$B$5-C877)-Model!$B$7</f>
        <v/>
      </c>
    </row>
    <row r="878">
      <c r="A878" t="n">
        <v>877</v>
      </c>
      <c r="B878" s="4">
        <f>MAX(0,_xlfn.NORM.INV(RAND(),Model!$B$4,Model!$B$11))</f>
        <v/>
      </c>
      <c r="C878" s="12">
        <f>Model!$B$12+(Model!$B$13-Model!$B$12)*RAND()</f>
        <v/>
      </c>
      <c r="D878" s="4">
        <f>MIN(B878,Model!$B$8)</f>
        <v/>
      </c>
      <c r="E878" s="6">
        <f>D878*(Model!$B$5-C878)-Model!$B$7</f>
        <v/>
      </c>
    </row>
    <row r="879">
      <c r="A879" t="n">
        <v>878</v>
      </c>
      <c r="B879" s="4">
        <f>MAX(0,_xlfn.NORM.INV(RAND(),Model!$B$4,Model!$B$11))</f>
        <v/>
      </c>
      <c r="C879" s="12">
        <f>Model!$B$12+(Model!$B$13-Model!$B$12)*RAND()</f>
        <v/>
      </c>
      <c r="D879" s="4">
        <f>MIN(B879,Model!$B$8)</f>
        <v/>
      </c>
      <c r="E879" s="6">
        <f>D879*(Model!$B$5-C879)-Model!$B$7</f>
        <v/>
      </c>
    </row>
    <row r="880">
      <c r="A880" t="n">
        <v>879</v>
      </c>
      <c r="B880" s="4">
        <f>MAX(0,_xlfn.NORM.INV(RAND(),Model!$B$4,Model!$B$11))</f>
        <v/>
      </c>
      <c r="C880" s="12">
        <f>Model!$B$12+(Model!$B$13-Model!$B$12)*RAND()</f>
        <v/>
      </c>
      <c r="D880" s="4">
        <f>MIN(B880,Model!$B$8)</f>
        <v/>
      </c>
      <c r="E880" s="6">
        <f>D880*(Model!$B$5-C880)-Model!$B$7</f>
        <v/>
      </c>
    </row>
    <row r="881">
      <c r="A881" t="n">
        <v>880</v>
      </c>
      <c r="B881" s="4">
        <f>MAX(0,_xlfn.NORM.INV(RAND(),Model!$B$4,Model!$B$11))</f>
        <v/>
      </c>
      <c r="C881" s="12">
        <f>Model!$B$12+(Model!$B$13-Model!$B$12)*RAND()</f>
        <v/>
      </c>
      <c r="D881" s="4">
        <f>MIN(B881,Model!$B$8)</f>
        <v/>
      </c>
      <c r="E881" s="6">
        <f>D881*(Model!$B$5-C881)-Model!$B$7</f>
        <v/>
      </c>
    </row>
    <row r="882">
      <c r="A882" t="n">
        <v>881</v>
      </c>
      <c r="B882" s="4">
        <f>MAX(0,_xlfn.NORM.INV(RAND(),Model!$B$4,Model!$B$11))</f>
        <v/>
      </c>
      <c r="C882" s="12">
        <f>Model!$B$12+(Model!$B$13-Model!$B$12)*RAND()</f>
        <v/>
      </c>
      <c r="D882" s="4">
        <f>MIN(B882,Model!$B$8)</f>
        <v/>
      </c>
      <c r="E882" s="6">
        <f>D882*(Model!$B$5-C882)-Model!$B$7</f>
        <v/>
      </c>
    </row>
    <row r="883">
      <c r="A883" t="n">
        <v>882</v>
      </c>
      <c r="B883" s="4">
        <f>MAX(0,_xlfn.NORM.INV(RAND(),Model!$B$4,Model!$B$11))</f>
        <v/>
      </c>
      <c r="C883" s="12">
        <f>Model!$B$12+(Model!$B$13-Model!$B$12)*RAND()</f>
        <v/>
      </c>
      <c r="D883" s="4">
        <f>MIN(B883,Model!$B$8)</f>
        <v/>
      </c>
      <c r="E883" s="6">
        <f>D883*(Model!$B$5-C883)-Model!$B$7</f>
        <v/>
      </c>
    </row>
    <row r="884">
      <c r="A884" t="n">
        <v>883</v>
      </c>
      <c r="B884" s="4">
        <f>MAX(0,_xlfn.NORM.INV(RAND(),Model!$B$4,Model!$B$11))</f>
        <v/>
      </c>
      <c r="C884" s="12">
        <f>Model!$B$12+(Model!$B$13-Model!$B$12)*RAND()</f>
        <v/>
      </c>
      <c r="D884" s="4">
        <f>MIN(B884,Model!$B$8)</f>
        <v/>
      </c>
      <c r="E884" s="6">
        <f>D884*(Model!$B$5-C884)-Model!$B$7</f>
        <v/>
      </c>
    </row>
    <row r="885">
      <c r="A885" t="n">
        <v>884</v>
      </c>
      <c r="B885" s="4">
        <f>MAX(0,_xlfn.NORM.INV(RAND(),Model!$B$4,Model!$B$11))</f>
        <v/>
      </c>
      <c r="C885" s="12">
        <f>Model!$B$12+(Model!$B$13-Model!$B$12)*RAND()</f>
        <v/>
      </c>
      <c r="D885" s="4">
        <f>MIN(B885,Model!$B$8)</f>
        <v/>
      </c>
      <c r="E885" s="6">
        <f>D885*(Model!$B$5-C885)-Model!$B$7</f>
        <v/>
      </c>
    </row>
    <row r="886">
      <c r="A886" t="n">
        <v>885</v>
      </c>
      <c r="B886" s="4">
        <f>MAX(0,_xlfn.NORM.INV(RAND(),Model!$B$4,Model!$B$11))</f>
        <v/>
      </c>
      <c r="C886" s="12">
        <f>Model!$B$12+(Model!$B$13-Model!$B$12)*RAND()</f>
        <v/>
      </c>
      <c r="D886" s="4">
        <f>MIN(B886,Model!$B$8)</f>
        <v/>
      </c>
      <c r="E886" s="6">
        <f>D886*(Model!$B$5-C886)-Model!$B$7</f>
        <v/>
      </c>
    </row>
    <row r="887">
      <c r="A887" t="n">
        <v>886</v>
      </c>
      <c r="B887" s="4">
        <f>MAX(0,_xlfn.NORM.INV(RAND(),Model!$B$4,Model!$B$11))</f>
        <v/>
      </c>
      <c r="C887" s="12">
        <f>Model!$B$12+(Model!$B$13-Model!$B$12)*RAND()</f>
        <v/>
      </c>
      <c r="D887" s="4">
        <f>MIN(B887,Model!$B$8)</f>
        <v/>
      </c>
      <c r="E887" s="6">
        <f>D887*(Model!$B$5-C887)-Model!$B$7</f>
        <v/>
      </c>
    </row>
    <row r="888">
      <c r="A888" t="n">
        <v>887</v>
      </c>
      <c r="B888" s="4">
        <f>MAX(0,_xlfn.NORM.INV(RAND(),Model!$B$4,Model!$B$11))</f>
        <v/>
      </c>
      <c r="C888" s="12">
        <f>Model!$B$12+(Model!$B$13-Model!$B$12)*RAND()</f>
        <v/>
      </c>
      <c r="D888" s="4">
        <f>MIN(B888,Model!$B$8)</f>
        <v/>
      </c>
      <c r="E888" s="6">
        <f>D888*(Model!$B$5-C888)-Model!$B$7</f>
        <v/>
      </c>
    </row>
    <row r="889">
      <c r="A889" t="n">
        <v>888</v>
      </c>
      <c r="B889" s="4">
        <f>MAX(0,_xlfn.NORM.INV(RAND(),Model!$B$4,Model!$B$11))</f>
        <v/>
      </c>
      <c r="C889" s="12">
        <f>Model!$B$12+(Model!$B$13-Model!$B$12)*RAND()</f>
        <v/>
      </c>
      <c r="D889" s="4">
        <f>MIN(B889,Model!$B$8)</f>
        <v/>
      </c>
      <c r="E889" s="6">
        <f>D889*(Model!$B$5-C889)-Model!$B$7</f>
        <v/>
      </c>
    </row>
    <row r="890">
      <c r="A890" t="n">
        <v>889</v>
      </c>
      <c r="B890" s="4">
        <f>MAX(0,_xlfn.NORM.INV(RAND(),Model!$B$4,Model!$B$11))</f>
        <v/>
      </c>
      <c r="C890" s="12">
        <f>Model!$B$12+(Model!$B$13-Model!$B$12)*RAND()</f>
        <v/>
      </c>
      <c r="D890" s="4">
        <f>MIN(B890,Model!$B$8)</f>
        <v/>
      </c>
      <c r="E890" s="6">
        <f>D890*(Model!$B$5-C890)-Model!$B$7</f>
        <v/>
      </c>
    </row>
    <row r="891">
      <c r="A891" t="n">
        <v>890</v>
      </c>
      <c r="B891" s="4">
        <f>MAX(0,_xlfn.NORM.INV(RAND(),Model!$B$4,Model!$B$11))</f>
        <v/>
      </c>
      <c r="C891" s="12">
        <f>Model!$B$12+(Model!$B$13-Model!$B$12)*RAND()</f>
        <v/>
      </c>
      <c r="D891" s="4">
        <f>MIN(B891,Model!$B$8)</f>
        <v/>
      </c>
      <c r="E891" s="6">
        <f>D891*(Model!$B$5-C891)-Model!$B$7</f>
        <v/>
      </c>
    </row>
    <row r="892">
      <c r="A892" t="n">
        <v>891</v>
      </c>
      <c r="B892" s="4">
        <f>MAX(0,_xlfn.NORM.INV(RAND(),Model!$B$4,Model!$B$11))</f>
        <v/>
      </c>
      <c r="C892" s="12">
        <f>Model!$B$12+(Model!$B$13-Model!$B$12)*RAND()</f>
        <v/>
      </c>
      <c r="D892" s="4">
        <f>MIN(B892,Model!$B$8)</f>
        <v/>
      </c>
      <c r="E892" s="6">
        <f>D892*(Model!$B$5-C892)-Model!$B$7</f>
        <v/>
      </c>
    </row>
    <row r="893">
      <c r="A893" t="n">
        <v>892</v>
      </c>
      <c r="B893" s="4">
        <f>MAX(0,_xlfn.NORM.INV(RAND(),Model!$B$4,Model!$B$11))</f>
        <v/>
      </c>
      <c r="C893" s="12">
        <f>Model!$B$12+(Model!$B$13-Model!$B$12)*RAND()</f>
        <v/>
      </c>
      <c r="D893" s="4">
        <f>MIN(B893,Model!$B$8)</f>
        <v/>
      </c>
      <c r="E893" s="6">
        <f>D893*(Model!$B$5-C893)-Model!$B$7</f>
        <v/>
      </c>
    </row>
    <row r="894">
      <c r="A894" t="n">
        <v>893</v>
      </c>
      <c r="B894" s="4">
        <f>MAX(0,_xlfn.NORM.INV(RAND(),Model!$B$4,Model!$B$11))</f>
        <v/>
      </c>
      <c r="C894" s="12">
        <f>Model!$B$12+(Model!$B$13-Model!$B$12)*RAND()</f>
        <v/>
      </c>
      <c r="D894" s="4">
        <f>MIN(B894,Model!$B$8)</f>
        <v/>
      </c>
      <c r="E894" s="6">
        <f>D894*(Model!$B$5-C894)-Model!$B$7</f>
        <v/>
      </c>
    </row>
    <row r="895">
      <c r="A895" t="n">
        <v>894</v>
      </c>
      <c r="B895" s="4">
        <f>MAX(0,_xlfn.NORM.INV(RAND(),Model!$B$4,Model!$B$11))</f>
        <v/>
      </c>
      <c r="C895" s="12">
        <f>Model!$B$12+(Model!$B$13-Model!$B$12)*RAND()</f>
        <v/>
      </c>
      <c r="D895" s="4">
        <f>MIN(B895,Model!$B$8)</f>
        <v/>
      </c>
      <c r="E895" s="6">
        <f>D895*(Model!$B$5-C895)-Model!$B$7</f>
        <v/>
      </c>
    </row>
    <row r="896">
      <c r="A896" t="n">
        <v>895</v>
      </c>
      <c r="B896" s="4">
        <f>MAX(0,_xlfn.NORM.INV(RAND(),Model!$B$4,Model!$B$11))</f>
        <v/>
      </c>
      <c r="C896" s="12">
        <f>Model!$B$12+(Model!$B$13-Model!$B$12)*RAND()</f>
        <v/>
      </c>
      <c r="D896" s="4">
        <f>MIN(B896,Model!$B$8)</f>
        <v/>
      </c>
      <c r="E896" s="6">
        <f>D896*(Model!$B$5-C896)-Model!$B$7</f>
        <v/>
      </c>
    </row>
    <row r="897">
      <c r="A897" t="n">
        <v>896</v>
      </c>
      <c r="B897" s="4">
        <f>MAX(0,_xlfn.NORM.INV(RAND(),Model!$B$4,Model!$B$11))</f>
        <v/>
      </c>
      <c r="C897" s="12">
        <f>Model!$B$12+(Model!$B$13-Model!$B$12)*RAND()</f>
        <v/>
      </c>
      <c r="D897" s="4">
        <f>MIN(B897,Model!$B$8)</f>
        <v/>
      </c>
      <c r="E897" s="6">
        <f>D897*(Model!$B$5-C897)-Model!$B$7</f>
        <v/>
      </c>
    </row>
    <row r="898">
      <c r="A898" t="n">
        <v>897</v>
      </c>
      <c r="B898" s="4">
        <f>MAX(0,_xlfn.NORM.INV(RAND(),Model!$B$4,Model!$B$11))</f>
        <v/>
      </c>
      <c r="C898" s="12">
        <f>Model!$B$12+(Model!$B$13-Model!$B$12)*RAND()</f>
        <v/>
      </c>
      <c r="D898" s="4">
        <f>MIN(B898,Model!$B$8)</f>
        <v/>
      </c>
      <c r="E898" s="6">
        <f>D898*(Model!$B$5-C898)-Model!$B$7</f>
        <v/>
      </c>
    </row>
    <row r="899">
      <c r="A899" t="n">
        <v>898</v>
      </c>
      <c r="B899" s="4">
        <f>MAX(0,_xlfn.NORM.INV(RAND(),Model!$B$4,Model!$B$11))</f>
        <v/>
      </c>
      <c r="C899" s="12">
        <f>Model!$B$12+(Model!$B$13-Model!$B$12)*RAND()</f>
        <v/>
      </c>
      <c r="D899" s="4">
        <f>MIN(B899,Model!$B$8)</f>
        <v/>
      </c>
      <c r="E899" s="6">
        <f>D899*(Model!$B$5-C899)-Model!$B$7</f>
        <v/>
      </c>
    </row>
    <row r="900">
      <c r="A900" t="n">
        <v>899</v>
      </c>
      <c r="B900" s="4">
        <f>MAX(0,_xlfn.NORM.INV(RAND(),Model!$B$4,Model!$B$11))</f>
        <v/>
      </c>
      <c r="C900" s="12">
        <f>Model!$B$12+(Model!$B$13-Model!$B$12)*RAND()</f>
        <v/>
      </c>
      <c r="D900" s="4">
        <f>MIN(B900,Model!$B$8)</f>
        <v/>
      </c>
      <c r="E900" s="6">
        <f>D900*(Model!$B$5-C900)-Model!$B$7</f>
        <v/>
      </c>
    </row>
    <row r="901">
      <c r="A901" t="n">
        <v>900</v>
      </c>
      <c r="B901" s="4">
        <f>MAX(0,_xlfn.NORM.INV(RAND(),Model!$B$4,Model!$B$11))</f>
        <v/>
      </c>
      <c r="C901" s="12">
        <f>Model!$B$12+(Model!$B$13-Model!$B$12)*RAND()</f>
        <v/>
      </c>
      <c r="D901" s="4">
        <f>MIN(B901,Model!$B$8)</f>
        <v/>
      </c>
      <c r="E901" s="6">
        <f>D901*(Model!$B$5-C901)-Model!$B$7</f>
        <v/>
      </c>
    </row>
    <row r="902">
      <c r="A902" t="n">
        <v>901</v>
      </c>
      <c r="B902" s="4">
        <f>MAX(0,_xlfn.NORM.INV(RAND(),Model!$B$4,Model!$B$11))</f>
        <v/>
      </c>
      <c r="C902" s="12">
        <f>Model!$B$12+(Model!$B$13-Model!$B$12)*RAND()</f>
        <v/>
      </c>
      <c r="D902" s="4">
        <f>MIN(B902,Model!$B$8)</f>
        <v/>
      </c>
      <c r="E902" s="6">
        <f>D902*(Model!$B$5-C902)-Model!$B$7</f>
        <v/>
      </c>
    </row>
    <row r="903">
      <c r="A903" t="n">
        <v>902</v>
      </c>
      <c r="B903" s="4">
        <f>MAX(0,_xlfn.NORM.INV(RAND(),Model!$B$4,Model!$B$11))</f>
        <v/>
      </c>
      <c r="C903" s="12">
        <f>Model!$B$12+(Model!$B$13-Model!$B$12)*RAND()</f>
        <v/>
      </c>
      <c r="D903" s="4">
        <f>MIN(B903,Model!$B$8)</f>
        <v/>
      </c>
      <c r="E903" s="6">
        <f>D903*(Model!$B$5-C903)-Model!$B$7</f>
        <v/>
      </c>
    </row>
    <row r="904">
      <c r="A904" t="n">
        <v>903</v>
      </c>
      <c r="B904" s="4">
        <f>MAX(0,_xlfn.NORM.INV(RAND(),Model!$B$4,Model!$B$11))</f>
        <v/>
      </c>
      <c r="C904" s="12">
        <f>Model!$B$12+(Model!$B$13-Model!$B$12)*RAND()</f>
        <v/>
      </c>
      <c r="D904" s="4">
        <f>MIN(B904,Model!$B$8)</f>
        <v/>
      </c>
      <c r="E904" s="6">
        <f>D904*(Model!$B$5-C904)-Model!$B$7</f>
        <v/>
      </c>
    </row>
    <row r="905">
      <c r="A905" t="n">
        <v>904</v>
      </c>
      <c r="B905" s="4">
        <f>MAX(0,_xlfn.NORM.INV(RAND(),Model!$B$4,Model!$B$11))</f>
        <v/>
      </c>
      <c r="C905" s="12">
        <f>Model!$B$12+(Model!$B$13-Model!$B$12)*RAND()</f>
        <v/>
      </c>
      <c r="D905" s="4">
        <f>MIN(B905,Model!$B$8)</f>
        <v/>
      </c>
      <c r="E905" s="6">
        <f>D905*(Model!$B$5-C905)-Model!$B$7</f>
        <v/>
      </c>
    </row>
    <row r="906">
      <c r="A906" t="n">
        <v>905</v>
      </c>
      <c r="B906" s="4">
        <f>MAX(0,_xlfn.NORM.INV(RAND(),Model!$B$4,Model!$B$11))</f>
        <v/>
      </c>
      <c r="C906" s="12">
        <f>Model!$B$12+(Model!$B$13-Model!$B$12)*RAND()</f>
        <v/>
      </c>
      <c r="D906" s="4">
        <f>MIN(B906,Model!$B$8)</f>
        <v/>
      </c>
      <c r="E906" s="6">
        <f>D906*(Model!$B$5-C906)-Model!$B$7</f>
        <v/>
      </c>
    </row>
    <row r="907">
      <c r="A907" t="n">
        <v>906</v>
      </c>
      <c r="B907" s="4">
        <f>MAX(0,_xlfn.NORM.INV(RAND(),Model!$B$4,Model!$B$11))</f>
        <v/>
      </c>
      <c r="C907" s="12">
        <f>Model!$B$12+(Model!$B$13-Model!$B$12)*RAND()</f>
        <v/>
      </c>
      <c r="D907" s="4">
        <f>MIN(B907,Model!$B$8)</f>
        <v/>
      </c>
      <c r="E907" s="6">
        <f>D907*(Model!$B$5-C907)-Model!$B$7</f>
        <v/>
      </c>
    </row>
    <row r="908">
      <c r="A908" t="n">
        <v>907</v>
      </c>
      <c r="B908" s="4">
        <f>MAX(0,_xlfn.NORM.INV(RAND(),Model!$B$4,Model!$B$11))</f>
        <v/>
      </c>
      <c r="C908" s="12">
        <f>Model!$B$12+(Model!$B$13-Model!$B$12)*RAND()</f>
        <v/>
      </c>
      <c r="D908" s="4">
        <f>MIN(B908,Model!$B$8)</f>
        <v/>
      </c>
      <c r="E908" s="6">
        <f>D908*(Model!$B$5-C908)-Model!$B$7</f>
        <v/>
      </c>
    </row>
    <row r="909">
      <c r="A909" t="n">
        <v>908</v>
      </c>
      <c r="B909" s="4">
        <f>MAX(0,_xlfn.NORM.INV(RAND(),Model!$B$4,Model!$B$11))</f>
        <v/>
      </c>
      <c r="C909" s="12">
        <f>Model!$B$12+(Model!$B$13-Model!$B$12)*RAND()</f>
        <v/>
      </c>
      <c r="D909" s="4">
        <f>MIN(B909,Model!$B$8)</f>
        <v/>
      </c>
      <c r="E909" s="6">
        <f>D909*(Model!$B$5-C909)-Model!$B$7</f>
        <v/>
      </c>
    </row>
    <row r="910">
      <c r="A910" t="n">
        <v>909</v>
      </c>
      <c r="B910" s="4">
        <f>MAX(0,_xlfn.NORM.INV(RAND(),Model!$B$4,Model!$B$11))</f>
        <v/>
      </c>
      <c r="C910" s="12">
        <f>Model!$B$12+(Model!$B$13-Model!$B$12)*RAND()</f>
        <v/>
      </c>
      <c r="D910" s="4">
        <f>MIN(B910,Model!$B$8)</f>
        <v/>
      </c>
      <c r="E910" s="6">
        <f>D910*(Model!$B$5-C910)-Model!$B$7</f>
        <v/>
      </c>
    </row>
    <row r="911">
      <c r="A911" t="n">
        <v>910</v>
      </c>
      <c r="B911" s="4">
        <f>MAX(0,_xlfn.NORM.INV(RAND(),Model!$B$4,Model!$B$11))</f>
        <v/>
      </c>
      <c r="C911" s="12">
        <f>Model!$B$12+(Model!$B$13-Model!$B$12)*RAND()</f>
        <v/>
      </c>
      <c r="D911" s="4">
        <f>MIN(B911,Model!$B$8)</f>
        <v/>
      </c>
      <c r="E911" s="6">
        <f>D911*(Model!$B$5-C911)-Model!$B$7</f>
        <v/>
      </c>
    </row>
    <row r="912">
      <c r="A912" t="n">
        <v>911</v>
      </c>
      <c r="B912" s="4">
        <f>MAX(0,_xlfn.NORM.INV(RAND(),Model!$B$4,Model!$B$11))</f>
        <v/>
      </c>
      <c r="C912" s="12">
        <f>Model!$B$12+(Model!$B$13-Model!$B$12)*RAND()</f>
        <v/>
      </c>
      <c r="D912" s="4">
        <f>MIN(B912,Model!$B$8)</f>
        <v/>
      </c>
      <c r="E912" s="6">
        <f>D912*(Model!$B$5-C912)-Model!$B$7</f>
        <v/>
      </c>
    </row>
    <row r="913">
      <c r="A913" t="n">
        <v>912</v>
      </c>
      <c r="B913" s="4">
        <f>MAX(0,_xlfn.NORM.INV(RAND(),Model!$B$4,Model!$B$11))</f>
        <v/>
      </c>
      <c r="C913" s="12">
        <f>Model!$B$12+(Model!$B$13-Model!$B$12)*RAND()</f>
        <v/>
      </c>
      <c r="D913" s="4">
        <f>MIN(B913,Model!$B$8)</f>
        <v/>
      </c>
      <c r="E913" s="6">
        <f>D913*(Model!$B$5-C913)-Model!$B$7</f>
        <v/>
      </c>
    </row>
    <row r="914">
      <c r="A914" t="n">
        <v>913</v>
      </c>
      <c r="B914" s="4">
        <f>MAX(0,_xlfn.NORM.INV(RAND(),Model!$B$4,Model!$B$11))</f>
        <v/>
      </c>
      <c r="C914" s="12">
        <f>Model!$B$12+(Model!$B$13-Model!$B$12)*RAND()</f>
        <v/>
      </c>
      <c r="D914" s="4">
        <f>MIN(B914,Model!$B$8)</f>
        <v/>
      </c>
      <c r="E914" s="6">
        <f>D914*(Model!$B$5-C914)-Model!$B$7</f>
        <v/>
      </c>
    </row>
    <row r="915">
      <c r="A915" t="n">
        <v>914</v>
      </c>
      <c r="B915" s="4">
        <f>MAX(0,_xlfn.NORM.INV(RAND(),Model!$B$4,Model!$B$11))</f>
        <v/>
      </c>
      <c r="C915" s="12">
        <f>Model!$B$12+(Model!$B$13-Model!$B$12)*RAND()</f>
        <v/>
      </c>
      <c r="D915" s="4">
        <f>MIN(B915,Model!$B$8)</f>
        <v/>
      </c>
      <c r="E915" s="6">
        <f>D915*(Model!$B$5-C915)-Model!$B$7</f>
        <v/>
      </c>
    </row>
    <row r="916">
      <c r="A916" t="n">
        <v>915</v>
      </c>
      <c r="B916" s="4">
        <f>MAX(0,_xlfn.NORM.INV(RAND(),Model!$B$4,Model!$B$11))</f>
        <v/>
      </c>
      <c r="C916" s="12">
        <f>Model!$B$12+(Model!$B$13-Model!$B$12)*RAND()</f>
        <v/>
      </c>
      <c r="D916" s="4">
        <f>MIN(B916,Model!$B$8)</f>
        <v/>
      </c>
      <c r="E916" s="6">
        <f>D916*(Model!$B$5-C916)-Model!$B$7</f>
        <v/>
      </c>
    </row>
    <row r="917">
      <c r="A917" t="n">
        <v>916</v>
      </c>
      <c r="B917" s="4">
        <f>MAX(0,_xlfn.NORM.INV(RAND(),Model!$B$4,Model!$B$11))</f>
        <v/>
      </c>
      <c r="C917" s="12">
        <f>Model!$B$12+(Model!$B$13-Model!$B$12)*RAND()</f>
        <v/>
      </c>
      <c r="D917" s="4">
        <f>MIN(B917,Model!$B$8)</f>
        <v/>
      </c>
      <c r="E917" s="6">
        <f>D917*(Model!$B$5-C917)-Model!$B$7</f>
        <v/>
      </c>
    </row>
    <row r="918">
      <c r="A918" t="n">
        <v>917</v>
      </c>
      <c r="B918" s="4">
        <f>MAX(0,_xlfn.NORM.INV(RAND(),Model!$B$4,Model!$B$11))</f>
        <v/>
      </c>
      <c r="C918" s="12">
        <f>Model!$B$12+(Model!$B$13-Model!$B$12)*RAND()</f>
        <v/>
      </c>
      <c r="D918" s="4">
        <f>MIN(B918,Model!$B$8)</f>
        <v/>
      </c>
      <c r="E918" s="6">
        <f>D918*(Model!$B$5-C918)-Model!$B$7</f>
        <v/>
      </c>
    </row>
    <row r="919">
      <c r="A919" t="n">
        <v>918</v>
      </c>
      <c r="B919" s="4">
        <f>MAX(0,_xlfn.NORM.INV(RAND(),Model!$B$4,Model!$B$11))</f>
        <v/>
      </c>
      <c r="C919" s="12">
        <f>Model!$B$12+(Model!$B$13-Model!$B$12)*RAND()</f>
        <v/>
      </c>
      <c r="D919" s="4">
        <f>MIN(B919,Model!$B$8)</f>
        <v/>
      </c>
      <c r="E919" s="6">
        <f>D919*(Model!$B$5-C919)-Model!$B$7</f>
        <v/>
      </c>
    </row>
    <row r="920">
      <c r="A920" t="n">
        <v>919</v>
      </c>
      <c r="B920" s="4">
        <f>MAX(0,_xlfn.NORM.INV(RAND(),Model!$B$4,Model!$B$11))</f>
        <v/>
      </c>
      <c r="C920" s="12">
        <f>Model!$B$12+(Model!$B$13-Model!$B$12)*RAND()</f>
        <v/>
      </c>
      <c r="D920" s="4">
        <f>MIN(B920,Model!$B$8)</f>
        <v/>
      </c>
      <c r="E920" s="6">
        <f>D920*(Model!$B$5-C920)-Model!$B$7</f>
        <v/>
      </c>
    </row>
    <row r="921">
      <c r="A921" t="n">
        <v>920</v>
      </c>
      <c r="B921" s="4">
        <f>MAX(0,_xlfn.NORM.INV(RAND(),Model!$B$4,Model!$B$11))</f>
        <v/>
      </c>
      <c r="C921" s="12">
        <f>Model!$B$12+(Model!$B$13-Model!$B$12)*RAND()</f>
        <v/>
      </c>
      <c r="D921" s="4">
        <f>MIN(B921,Model!$B$8)</f>
        <v/>
      </c>
      <c r="E921" s="6">
        <f>D921*(Model!$B$5-C921)-Model!$B$7</f>
        <v/>
      </c>
    </row>
    <row r="922">
      <c r="A922" t="n">
        <v>921</v>
      </c>
      <c r="B922" s="4">
        <f>MAX(0,_xlfn.NORM.INV(RAND(),Model!$B$4,Model!$B$11))</f>
        <v/>
      </c>
      <c r="C922" s="12">
        <f>Model!$B$12+(Model!$B$13-Model!$B$12)*RAND()</f>
        <v/>
      </c>
      <c r="D922" s="4">
        <f>MIN(B922,Model!$B$8)</f>
        <v/>
      </c>
      <c r="E922" s="6">
        <f>D922*(Model!$B$5-C922)-Model!$B$7</f>
        <v/>
      </c>
    </row>
    <row r="923">
      <c r="A923" t="n">
        <v>922</v>
      </c>
      <c r="B923" s="4">
        <f>MAX(0,_xlfn.NORM.INV(RAND(),Model!$B$4,Model!$B$11))</f>
        <v/>
      </c>
      <c r="C923" s="12">
        <f>Model!$B$12+(Model!$B$13-Model!$B$12)*RAND()</f>
        <v/>
      </c>
      <c r="D923" s="4">
        <f>MIN(B923,Model!$B$8)</f>
        <v/>
      </c>
      <c r="E923" s="6">
        <f>D923*(Model!$B$5-C923)-Model!$B$7</f>
        <v/>
      </c>
    </row>
    <row r="924">
      <c r="A924" t="n">
        <v>923</v>
      </c>
      <c r="B924" s="4">
        <f>MAX(0,_xlfn.NORM.INV(RAND(),Model!$B$4,Model!$B$11))</f>
        <v/>
      </c>
      <c r="C924" s="12">
        <f>Model!$B$12+(Model!$B$13-Model!$B$12)*RAND()</f>
        <v/>
      </c>
      <c r="D924" s="4">
        <f>MIN(B924,Model!$B$8)</f>
        <v/>
      </c>
      <c r="E924" s="6">
        <f>D924*(Model!$B$5-C924)-Model!$B$7</f>
        <v/>
      </c>
    </row>
    <row r="925">
      <c r="A925" t="n">
        <v>924</v>
      </c>
      <c r="B925" s="4">
        <f>MAX(0,_xlfn.NORM.INV(RAND(),Model!$B$4,Model!$B$11))</f>
        <v/>
      </c>
      <c r="C925" s="12">
        <f>Model!$B$12+(Model!$B$13-Model!$B$12)*RAND()</f>
        <v/>
      </c>
      <c r="D925" s="4">
        <f>MIN(B925,Model!$B$8)</f>
        <v/>
      </c>
      <c r="E925" s="6">
        <f>D925*(Model!$B$5-C925)-Model!$B$7</f>
        <v/>
      </c>
    </row>
    <row r="926">
      <c r="A926" t="n">
        <v>925</v>
      </c>
      <c r="B926" s="4">
        <f>MAX(0,_xlfn.NORM.INV(RAND(),Model!$B$4,Model!$B$11))</f>
        <v/>
      </c>
      <c r="C926" s="12">
        <f>Model!$B$12+(Model!$B$13-Model!$B$12)*RAND()</f>
        <v/>
      </c>
      <c r="D926" s="4">
        <f>MIN(B926,Model!$B$8)</f>
        <v/>
      </c>
      <c r="E926" s="6">
        <f>D926*(Model!$B$5-C926)-Model!$B$7</f>
        <v/>
      </c>
    </row>
    <row r="927">
      <c r="A927" t="n">
        <v>926</v>
      </c>
      <c r="B927" s="4">
        <f>MAX(0,_xlfn.NORM.INV(RAND(),Model!$B$4,Model!$B$11))</f>
        <v/>
      </c>
      <c r="C927" s="12">
        <f>Model!$B$12+(Model!$B$13-Model!$B$12)*RAND()</f>
        <v/>
      </c>
      <c r="D927" s="4">
        <f>MIN(B927,Model!$B$8)</f>
        <v/>
      </c>
      <c r="E927" s="6">
        <f>D927*(Model!$B$5-C927)-Model!$B$7</f>
        <v/>
      </c>
    </row>
    <row r="928">
      <c r="A928" t="n">
        <v>927</v>
      </c>
      <c r="B928" s="4">
        <f>MAX(0,_xlfn.NORM.INV(RAND(),Model!$B$4,Model!$B$11))</f>
        <v/>
      </c>
      <c r="C928" s="12">
        <f>Model!$B$12+(Model!$B$13-Model!$B$12)*RAND()</f>
        <v/>
      </c>
      <c r="D928" s="4">
        <f>MIN(B928,Model!$B$8)</f>
        <v/>
      </c>
      <c r="E928" s="6">
        <f>D928*(Model!$B$5-C928)-Model!$B$7</f>
        <v/>
      </c>
    </row>
    <row r="929">
      <c r="A929" t="n">
        <v>928</v>
      </c>
      <c r="B929" s="4">
        <f>MAX(0,_xlfn.NORM.INV(RAND(),Model!$B$4,Model!$B$11))</f>
        <v/>
      </c>
      <c r="C929" s="12">
        <f>Model!$B$12+(Model!$B$13-Model!$B$12)*RAND()</f>
        <v/>
      </c>
      <c r="D929" s="4">
        <f>MIN(B929,Model!$B$8)</f>
        <v/>
      </c>
      <c r="E929" s="6">
        <f>D929*(Model!$B$5-C929)-Model!$B$7</f>
        <v/>
      </c>
    </row>
    <row r="930">
      <c r="A930" t="n">
        <v>929</v>
      </c>
      <c r="B930" s="4">
        <f>MAX(0,_xlfn.NORM.INV(RAND(),Model!$B$4,Model!$B$11))</f>
        <v/>
      </c>
      <c r="C930" s="12">
        <f>Model!$B$12+(Model!$B$13-Model!$B$12)*RAND()</f>
        <v/>
      </c>
      <c r="D930" s="4">
        <f>MIN(B930,Model!$B$8)</f>
        <v/>
      </c>
      <c r="E930" s="6">
        <f>D930*(Model!$B$5-C930)-Model!$B$7</f>
        <v/>
      </c>
    </row>
    <row r="931">
      <c r="A931" t="n">
        <v>930</v>
      </c>
      <c r="B931" s="4">
        <f>MAX(0,_xlfn.NORM.INV(RAND(),Model!$B$4,Model!$B$11))</f>
        <v/>
      </c>
      <c r="C931" s="12">
        <f>Model!$B$12+(Model!$B$13-Model!$B$12)*RAND()</f>
        <v/>
      </c>
      <c r="D931" s="4">
        <f>MIN(B931,Model!$B$8)</f>
        <v/>
      </c>
      <c r="E931" s="6">
        <f>D931*(Model!$B$5-C931)-Model!$B$7</f>
        <v/>
      </c>
    </row>
    <row r="932">
      <c r="A932" t="n">
        <v>931</v>
      </c>
      <c r="B932" s="4">
        <f>MAX(0,_xlfn.NORM.INV(RAND(),Model!$B$4,Model!$B$11))</f>
        <v/>
      </c>
      <c r="C932" s="12">
        <f>Model!$B$12+(Model!$B$13-Model!$B$12)*RAND()</f>
        <v/>
      </c>
      <c r="D932" s="4">
        <f>MIN(B932,Model!$B$8)</f>
        <v/>
      </c>
      <c r="E932" s="6">
        <f>D932*(Model!$B$5-C932)-Model!$B$7</f>
        <v/>
      </c>
    </row>
    <row r="933">
      <c r="A933" t="n">
        <v>932</v>
      </c>
      <c r="B933" s="4">
        <f>MAX(0,_xlfn.NORM.INV(RAND(),Model!$B$4,Model!$B$11))</f>
        <v/>
      </c>
      <c r="C933" s="12">
        <f>Model!$B$12+(Model!$B$13-Model!$B$12)*RAND()</f>
        <v/>
      </c>
      <c r="D933" s="4">
        <f>MIN(B933,Model!$B$8)</f>
        <v/>
      </c>
      <c r="E933" s="6">
        <f>D933*(Model!$B$5-C933)-Model!$B$7</f>
        <v/>
      </c>
    </row>
    <row r="934">
      <c r="A934" t="n">
        <v>933</v>
      </c>
      <c r="B934" s="4">
        <f>MAX(0,_xlfn.NORM.INV(RAND(),Model!$B$4,Model!$B$11))</f>
        <v/>
      </c>
      <c r="C934" s="12">
        <f>Model!$B$12+(Model!$B$13-Model!$B$12)*RAND()</f>
        <v/>
      </c>
      <c r="D934" s="4">
        <f>MIN(B934,Model!$B$8)</f>
        <v/>
      </c>
      <c r="E934" s="6">
        <f>D934*(Model!$B$5-C934)-Model!$B$7</f>
        <v/>
      </c>
    </row>
    <row r="935">
      <c r="A935" t="n">
        <v>934</v>
      </c>
      <c r="B935" s="4">
        <f>MAX(0,_xlfn.NORM.INV(RAND(),Model!$B$4,Model!$B$11))</f>
        <v/>
      </c>
      <c r="C935" s="12">
        <f>Model!$B$12+(Model!$B$13-Model!$B$12)*RAND()</f>
        <v/>
      </c>
      <c r="D935" s="4">
        <f>MIN(B935,Model!$B$8)</f>
        <v/>
      </c>
      <c r="E935" s="6">
        <f>D935*(Model!$B$5-C935)-Model!$B$7</f>
        <v/>
      </c>
    </row>
    <row r="936">
      <c r="A936" t="n">
        <v>935</v>
      </c>
      <c r="B936" s="4">
        <f>MAX(0,_xlfn.NORM.INV(RAND(),Model!$B$4,Model!$B$11))</f>
        <v/>
      </c>
      <c r="C936" s="12">
        <f>Model!$B$12+(Model!$B$13-Model!$B$12)*RAND()</f>
        <v/>
      </c>
      <c r="D936" s="4">
        <f>MIN(B936,Model!$B$8)</f>
        <v/>
      </c>
      <c r="E936" s="6">
        <f>D936*(Model!$B$5-C936)-Model!$B$7</f>
        <v/>
      </c>
    </row>
    <row r="937">
      <c r="A937" t="n">
        <v>936</v>
      </c>
      <c r="B937" s="4">
        <f>MAX(0,_xlfn.NORM.INV(RAND(),Model!$B$4,Model!$B$11))</f>
        <v/>
      </c>
      <c r="C937" s="12">
        <f>Model!$B$12+(Model!$B$13-Model!$B$12)*RAND()</f>
        <v/>
      </c>
      <c r="D937" s="4">
        <f>MIN(B937,Model!$B$8)</f>
        <v/>
      </c>
      <c r="E937" s="6">
        <f>D937*(Model!$B$5-C937)-Model!$B$7</f>
        <v/>
      </c>
    </row>
    <row r="938">
      <c r="A938" t="n">
        <v>937</v>
      </c>
      <c r="B938" s="4">
        <f>MAX(0,_xlfn.NORM.INV(RAND(),Model!$B$4,Model!$B$11))</f>
        <v/>
      </c>
      <c r="C938" s="12">
        <f>Model!$B$12+(Model!$B$13-Model!$B$12)*RAND()</f>
        <v/>
      </c>
      <c r="D938" s="4">
        <f>MIN(B938,Model!$B$8)</f>
        <v/>
      </c>
      <c r="E938" s="6">
        <f>D938*(Model!$B$5-C938)-Model!$B$7</f>
        <v/>
      </c>
    </row>
    <row r="939">
      <c r="A939" t="n">
        <v>938</v>
      </c>
      <c r="B939" s="4">
        <f>MAX(0,_xlfn.NORM.INV(RAND(),Model!$B$4,Model!$B$11))</f>
        <v/>
      </c>
      <c r="C939" s="12">
        <f>Model!$B$12+(Model!$B$13-Model!$B$12)*RAND()</f>
        <v/>
      </c>
      <c r="D939" s="4">
        <f>MIN(B939,Model!$B$8)</f>
        <v/>
      </c>
      <c r="E939" s="6">
        <f>D939*(Model!$B$5-C939)-Model!$B$7</f>
        <v/>
      </c>
    </row>
    <row r="940">
      <c r="A940" t="n">
        <v>939</v>
      </c>
      <c r="B940" s="4">
        <f>MAX(0,_xlfn.NORM.INV(RAND(),Model!$B$4,Model!$B$11))</f>
        <v/>
      </c>
      <c r="C940" s="12">
        <f>Model!$B$12+(Model!$B$13-Model!$B$12)*RAND()</f>
        <v/>
      </c>
      <c r="D940" s="4">
        <f>MIN(B940,Model!$B$8)</f>
        <v/>
      </c>
      <c r="E940" s="6">
        <f>D940*(Model!$B$5-C940)-Model!$B$7</f>
        <v/>
      </c>
    </row>
    <row r="941">
      <c r="A941" t="n">
        <v>940</v>
      </c>
      <c r="B941" s="4">
        <f>MAX(0,_xlfn.NORM.INV(RAND(),Model!$B$4,Model!$B$11))</f>
        <v/>
      </c>
      <c r="C941" s="12">
        <f>Model!$B$12+(Model!$B$13-Model!$B$12)*RAND()</f>
        <v/>
      </c>
      <c r="D941" s="4">
        <f>MIN(B941,Model!$B$8)</f>
        <v/>
      </c>
      <c r="E941" s="6">
        <f>D941*(Model!$B$5-C941)-Model!$B$7</f>
        <v/>
      </c>
    </row>
    <row r="942">
      <c r="A942" t="n">
        <v>941</v>
      </c>
      <c r="B942" s="4">
        <f>MAX(0,_xlfn.NORM.INV(RAND(),Model!$B$4,Model!$B$11))</f>
        <v/>
      </c>
      <c r="C942" s="12">
        <f>Model!$B$12+(Model!$B$13-Model!$B$12)*RAND()</f>
        <v/>
      </c>
      <c r="D942" s="4">
        <f>MIN(B942,Model!$B$8)</f>
        <v/>
      </c>
      <c r="E942" s="6">
        <f>D942*(Model!$B$5-C942)-Model!$B$7</f>
        <v/>
      </c>
    </row>
    <row r="943">
      <c r="A943" t="n">
        <v>942</v>
      </c>
      <c r="B943" s="4">
        <f>MAX(0,_xlfn.NORM.INV(RAND(),Model!$B$4,Model!$B$11))</f>
        <v/>
      </c>
      <c r="C943" s="12">
        <f>Model!$B$12+(Model!$B$13-Model!$B$12)*RAND()</f>
        <v/>
      </c>
      <c r="D943" s="4">
        <f>MIN(B943,Model!$B$8)</f>
        <v/>
      </c>
      <c r="E943" s="6">
        <f>D943*(Model!$B$5-C943)-Model!$B$7</f>
        <v/>
      </c>
    </row>
    <row r="944">
      <c r="A944" t="n">
        <v>943</v>
      </c>
      <c r="B944" s="4">
        <f>MAX(0,_xlfn.NORM.INV(RAND(),Model!$B$4,Model!$B$11))</f>
        <v/>
      </c>
      <c r="C944" s="12">
        <f>Model!$B$12+(Model!$B$13-Model!$B$12)*RAND()</f>
        <v/>
      </c>
      <c r="D944" s="4">
        <f>MIN(B944,Model!$B$8)</f>
        <v/>
      </c>
      <c r="E944" s="6">
        <f>D944*(Model!$B$5-C944)-Model!$B$7</f>
        <v/>
      </c>
    </row>
    <row r="945">
      <c r="A945" t="n">
        <v>944</v>
      </c>
      <c r="B945" s="4">
        <f>MAX(0,_xlfn.NORM.INV(RAND(),Model!$B$4,Model!$B$11))</f>
        <v/>
      </c>
      <c r="C945" s="12">
        <f>Model!$B$12+(Model!$B$13-Model!$B$12)*RAND()</f>
        <v/>
      </c>
      <c r="D945" s="4">
        <f>MIN(B945,Model!$B$8)</f>
        <v/>
      </c>
      <c r="E945" s="6">
        <f>D945*(Model!$B$5-C945)-Model!$B$7</f>
        <v/>
      </c>
    </row>
    <row r="946">
      <c r="A946" t="n">
        <v>945</v>
      </c>
      <c r="B946" s="4">
        <f>MAX(0,_xlfn.NORM.INV(RAND(),Model!$B$4,Model!$B$11))</f>
        <v/>
      </c>
      <c r="C946" s="12">
        <f>Model!$B$12+(Model!$B$13-Model!$B$12)*RAND()</f>
        <v/>
      </c>
      <c r="D946" s="4">
        <f>MIN(B946,Model!$B$8)</f>
        <v/>
      </c>
      <c r="E946" s="6">
        <f>D946*(Model!$B$5-C946)-Model!$B$7</f>
        <v/>
      </c>
    </row>
    <row r="947">
      <c r="A947" t="n">
        <v>946</v>
      </c>
      <c r="B947" s="4">
        <f>MAX(0,_xlfn.NORM.INV(RAND(),Model!$B$4,Model!$B$11))</f>
        <v/>
      </c>
      <c r="C947" s="12">
        <f>Model!$B$12+(Model!$B$13-Model!$B$12)*RAND()</f>
        <v/>
      </c>
      <c r="D947" s="4">
        <f>MIN(B947,Model!$B$8)</f>
        <v/>
      </c>
      <c r="E947" s="6">
        <f>D947*(Model!$B$5-C947)-Model!$B$7</f>
        <v/>
      </c>
    </row>
    <row r="948">
      <c r="A948" t="n">
        <v>947</v>
      </c>
      <c r="B948" s="4">
        <f>MAX(0,_xlfn.NORM.INV(RAND(),Model!$B$4,Model!$B$11))</f>
        <v/>
      </c>
      <c r="C948" s="12">
        <f>Model!$B$12+(Model!$B$13-Model!$B$12)*RAND()</f>
        <v/>
      </c>
      <c r="D948" s="4">
        <f>MIN(B948,Model!$B$8)</f>
        <v/>
      </c>
      <c r="E948" s="6">
        <f>D948*(Model!$B$5-C948)-Model!$B$7</f>
        <v/>
      </c>
    </row>
    <row r="949">
      <c r="A949" t="n">
        <v>948</v>
      </c>
      <c r="B949" s="4">
        <f>MAX(0,_xlfn.NORM.INV(RAND(),Model!$B$4,Model!$B$11))</f>
        <v/>
      </c>
      <c r="C949" s="12">
        <f>Model!$B$12+(Model!$B$13-Model!$B$12)*RAND()</f>
        <v/>
      </c>
      <c r="D949" s="4">
        <f>MIN(B949,Model!$B$8)</f>
        <v/>
      </c>
      <c r="E949" s="6">
        <f>D949*(Model!$B$5-C949)-Model!$B$7</f>
        <v/>
      </c>
    </row>
    <row r="950">
      <c r="A950" t="n">
        <v>949</v>
      </c>
      <c r="B950" s="4">
        <f>MAX(0,_xlfn.NORM.INV(RAND(),Model!$B$4,Model!$B$11))</f>
        <v/>
      </c>
      <c r="C950" s="12">
        <f>Model!$B$12+(Model!$B$13-Model!$B$12)*RAND()</f>
        <v/>
      </c>
      <c r="D950" s="4">
        <f>MIN(B950,Model!$B$8)</f>
        <v/>
      </c>
      <c r="E950" s="6">
        <f>D950*(Model!$B$5-C950)-Model!$B$7</f>
        <v/>
      </c>
    </row>
    <row r="951">
      <c r="A951" t="n">
        <v>950</v>
      </c>
      <c r="B951" s="4">
        <f>MAX(0,_xlfn.NORM.INV(RAND(),Model!$B$4,Model!$B$11))</f>
        <v/>
      </c>
      <c r="C951" s="12">
        <f>Model!$B$12+(Model!$B$13-Model!$B$12)*RAND()</f>
        <v/>
      </c>
      <c r="D951" s="4">
        <f>MIN(B951,Model!$B$8)</f>
        <v/>
      </c>
      <c r="E951" s="6">
        <f>D951*(Model!$B$5-C951)-Model!$B$7</f>
        <v/>
      </c>
    </row>
    <row r="952">
      <c r="A952" t="n">
        <v>951</v>
      </c>
      <c r="B952" s="4">
        <f>MAX(0,_xlfn.NORM.INV(RAND(),Model!$B$4,Model!$B$11))</f>
        <v/>
      </c>
      <c r="C952" s="12">
        <f>Model!$B$12+(Model!$B$13-Model!$B$12)*RAND()</f>
        <v/>
      </c>
      <c r="D952" s="4">
        <f>MIN(B952,Model!$B$8)</f>
        <v/>
      </c>
      <c r="E952" s="6">
        <f>D952*(Model!$B$5-C952)-Model!$B$7</f>
        <v/>
      </c>
    </row>
    <row r="953">
      <c r="A953" t="n">
        <v>952</v>
      </c>
      <c r="B953" s="4">
        <f>MAX(0,_xlfn.NORM.INV(RAND(),Model!$B$4,Model!$B$11))</f>
        <v/>
      </c>
      <c r="C953" s="12">
        <f>Model!$B$12+(Model!$B$13-Model!$B$12)*RAND()</f>
        <v/>
      </c>
      <c r="D953" s="4">
        <f>MIN(B953,Model!$B$8)</f>
        <v/>
      </c>
      <c r="E953" s="6">
        <f>D953*(Model!$B$5-C953)-Model!$B$7</f>
        <v/>
      </c>
    </row>
    <row r="954">
      <c r="A954" t="n">
        <v>953</v>
      </c>
      <c r="B954" s="4">
        <f>MAX(0,_xlfn.NORM.INV(RAND(),Model!$B$4,Model!$B$11))</f>
        <v/>
      </c>
      <c r="C954" s="12">
        <f>Model!$B$12+(Model!$B$13-Model!$B$12)*RAND()</f>
        <v/>
      </c>
      <c r="D954" s="4">
        <f>MIN(B954,Model!$B$8)</f>
        <v/>
      </c>
      <c r="E954" s="6">
        <f>D954*(Model!$B$5-C954)-Model!$B$7</f>
        <v/>
      </c>
    </row>
    <row r="955">
      <c r="A955" t="n">
        <v>954</v>
      </c>
      <c r="B955" s="4">
        <f>MAX(0,_xlfn.NORM.INV(RAND(),Model!$B$4,Model!$B$11))</f>
        <v/>
      </c>
      <c r="C955" s="12">
        <f>Model!$B$12+(Model!$B$13-Model!$B$12)*RAND()</f>
        <v/>
      </c>
      <c r="D955" s="4">
        <f>MIN(B955,Model!$B$8)</f>
        <v/>
      </c>
      <c r="E955" s="6">
        <f>D955*(Model!$B$5-C955)-Model!$B$7</f>
        <v/>
      </c>
    </row>
    <row r="956">
      <c r="A956" t="n">
        <v>955</v>
      </c>
      <c r="B956" s="4">
        <f>MAX(0,_xlfn.NORM.INV(RAND(),Model!$B$4,Model!$B$11))</f>
        <v/>
      </c>
      <c r="C956" s="12">
        <f>Model!$B$12+(Model!$B$13-Model!$B$12)*RAND()</f>
        <v/>
      </c>
      <c r="D956" s="4">
        <f>MIN(B956,Model!$B$8)</f>
        <v/>
      </c>
      <c r="E956" s="6">
        <f>D956*(Model!$B$5-C956)-Model!$B$7</f>
        <v/>
      </c>
    </row>
    <row r="957">
      <c r="A957" t="n">
        <v>956</v>
      </c>
      <c r="B957" s="4">
        <f>MAX(0,_xlfn.NORM.INV(RAND(),Model!$B$4,Model!$B$11))</f>
        <v/>
      </c>
      <c r="C957" s="12">
        <f>Model!$B$12+(Model!$B$13-Model!$B$12)*RAND()</f>
        <v/>
      </c>
      <c r="D957" s="4">
        <f>MIN(B957,Model!$B$8)</f>
        <v/>
      </c>
      <c r="E957" s="6">
        <f>D957*(Model!$B$5-C957)-Model!$B$7</f>
        <v/>
      </c>
    </row>
    <row r="958">
      <c r="A958" t="n">
        <v>957</v>
      </c>
      <c r="B958" s="4">
        <f>MAX(0,_xlfn.NORM.INV(RAND(),Model!$B$4,Model!$B$11))</f>
        <v/>
      </c>
      <c r="C958" s="12">
        <f>Model!$B$12+(Model!$B$13-Model!$B$12)*RAND()</f>
        <v/>
      </c>
      <c r="D958" s="4">
        <f>MIN(B958,Model!$B$8)</f>
        <v/>
      </c>
      <c r="E958" s="6">
        <f>D958*(Model!$B$5-C958)-Model!$B$7</f>
        <v/>
      </c>
    </row>
    <row r="959">
      <c r="A959" t="n">
        <v>958</v>
      </c>
      <c r="B959" s="4">
        <f>MAX(0,_xlfn.NORM.INV(RAND(),Model!$B$4,Model!$B$11))</f>
        <v/>
      </c>
      <c r="C959" s="12">
        <f>Model!$B$12+(Model!$B$13-Model!$B$12)*RAND()</f>
        <v/>
      </c>
      <c r="D959" s="4">
        <f>MIN(B959,Model!$B$8)</f>
        <v/>
      </c>
      <c r="E959" s="6">
        <f>D959*(Model!$B$5-C959)-Model!$B$7</f>
        <v/>
      </c>
    </row>
    <row r="960">
      <c r="A960" t="n">
        <v>959</v>
      </c>
      <c r="B960" s="4">
        <f>MAX(0,_xlfn.NORM.INV(RAND(),Model!$B$4,Model!$B$11))</f>
        <v/>
      </c>
      <c r="C960" s="12">
        <f>Model!$B$12+(Model!$B$13-Model!$B$12)*RAND()</f>
        <v/>
      </c>
      <c r="D960" s="4">
        <f>MIN(B960,Model!$B$8)</f>
        <v/>
      </c>
      <c r="E960" s="6">
        <f>D960*(Model!$B$5-C960)-Model!$B$7</f>
        <v/>
      </c>
    </row>
    <row r="961">
      <c r="A961" t="n">
        <v>960</v>
      </c>
      <c r="B961" s="4">
        <f>MAX(0,_xlfn.NORM.INV(RAND(),Model!$B$4,Model!$B$11))</f>
        <v/>
      </c>
      <c r="C961" s="12">
        <f>Model!$B$12+(Model!$B$13-Model!$B$12)*RAND()</f>
        <v/>
      </c>
      <c r="D961" s="4">
        <f>MIN(B961,Model!$B$8)</f>
        <v/>
      </c>
      <c r="E961" s="6">
        <f>D961*(Model!$B$5-C961)-Model!$B$7</f>
        <v/>
      </c>
    </row>
    <row r="962">
      <c r="A962" t="n">
        <v>961</v>
      </c>
      <c r="B962" s="4">
        <f>MAX(0,_xlfn.NORM.INV(RAND(),Model!$B$4,Model!$B$11))</f>
        <v/>
      </c>
      <c r="C962" s="12">
        <f>Model!$B$12+(Model!$B$13-Model!$B$12)*RAND()</f>
        <v/>
      </c>
      <c r="D962" s="4">
        <f>MIN(B962,Model!$B$8)</f>
        <v/>
      </c>
      <c r="E962" s="6">
        <f>D962*(Model!$B$5-C962)-Model!$B$7</f>
        <v/>
      </c>
    </row>
    <row r="963">
      <c r="A963" t="n">
        <v>962</v>
      </c>
      <c r="B963" s="4">
        <f>MAX(0,_xlfn.NORM.INV(RAND(),Model!$B$4,Model!$B$11))</f>
        <v/>
      </c>
      <c r="C963" s="12">
        <f>Model!$B$12+(Model!$B$13-Model!$B$12)*RAND()</f>
        <v/>
      </c>
      <c r="D963" s="4">
        <f>MIN(B963,Model!$B$8)</f>
        <v/>
      </c>
      <c r="E963" s="6">
        <f>D963*(Model!$B$5-C963)-Model!$B$7</f>
        <v/>
      </c>
    </row>
    <row r="964">
      <c r="A964" t="n">
        <v>963</v>
      </c>
      <c r="B964" s="4">
        <f>MAX(0,_xlfn.NORM.INV(RAND(),Model!$B$4,Model!$B$11))</f>
        <v/>
      </c>
      <c r="C964" s="12">
        <f>Model!$B$12+(Model!$B$13-Model!$B$12)*RAND()</f>
        <v/>
      </c>
      <c r="D964" s="4">
        <f>MIN(B964,Model!$B$8)</f>
        <v/>
      </c>
      <c r="E964" s="6">
        <f>D964*(Model!$B$5-C964)-Model!$B$7</f>
        <v/>
      </c>
    </row>
    <row r="965">
      <c r="A965" t="n">
        <v>964</v>
      </c>
      <c r="B965" s="4">
        <f>MAX(0,_xlfn.NORM.INV(RAND(),Model!$B$4,Model!$B$11))</f>
        <v/>
      </c>
      <c r="C965" s="12">
        <f>Model!$B$12+(Model!$B$13-Model!$B$12)*RAND()</f>
        <v/>
      </c>
      <c r="D965" s="4">
        <f>MIN(B965,Model!$B$8)</f>
        <v/>
      </c>
      <c r="E965" s="6">
        <f>D965*(Model!$B$5-C965)-Model!$B$7</f>
        <v/>
      </c>
    </row>
    <row r="966">
      <c r="A966" t="n">
        <v>965</v>
      </c>
      <c r="B966" s="4">
        <f>MAX(0,_xlfn.NORM.INV(RAND(),Model!$B$4,Model!$B$11))</f>
        <v/>
      </c>
      <c r="C966" s="12">
        <f>Model!$B$12+(Model!$B$13-Model!$B$12)*RAND()</f>
        <v/>
      </c>
      <c r="D966" s="4">
        <f>MIN(B966,Model!$B$8)</f>
        <v/>
      </c>
      <c r="E966" s="6">
        <f>D966*(Model!$B$5-C966)-Model!$B$7</f>
        <v/>
      </c>
    </row>
    <row r="967">
      <c r="A967" t="n">
        <v>966</v>
      </c>
      <c r="B967" s="4">
        <f>MAX(0,_xlfn.NORM.INV(RAND(),Model!$B$4,Model!$B$11))</f>
        <v/>
      </c>
      <c r="C967" s="12">
        <f>Model!$B$12+(Model!$B$13-Model!$B$12)*RAND()</f>
        <v/>
      </c>
      <c r="D967" s="4">
        <f>MIN(B967,Model!$B$8)</f>
        <v/>
      </c>
      <c r="E967" s="6">
        <f>D967*(Model!$B$5-C967)-Model!$B$7</f>
        <v/>
      </c>
    </row>
    <row r="968">
      <c r="A968" t="n">
        <v>967</v>
      </c>
      <c r="B968" s="4">
        <f>MAX(0,_xlfn.NORM.INV(RAND(),Model!$B$4,Model!$B$11))</f>
        <v/>
      </c>
      <c r="C968" s="12">
        <f>Model!$B$12+(Model!$B$13-Model!$B$12)*RAND()</f>
        <v/>
      </c>
      <c r="D968" s="4">
        <f>MIN(B968,Model!$B$8)</f>
        <v/>
      </c>
      <c r="E968" s="6">
        <f>D968*(Model!$B$5-C968)-Model!$B$7</f>
        <v/>
      </c>
    </row>
    <row r="969">
      <c r="A969" t="n">
        <v>968</v>
      </c>
      <c r="B969" s="4">
        <f>MAX(0,_xlfn.NORM.INV(RAND(),Model!$B$4,Model!$B$11))</f>
        <v/>
      </c>
      <c r="C969" s="12">
        <f>Model!$B$12+(Model!$B$13-Model!$B$12)*RAND()</f>
        <v/>
      </c>
      <c r="D969" s="4">
        <f>MIN(B969,Model!$B$8)</f>
        <v/>
      </c>
      <c r="E969" s="6">
        <f>D969*(Model!$B$5-C969)-Model!$B$7</f>
        <v/>
      </c>
    </row>
    <row r="970">
      <c r="A970" t="n">
        <v>969</v>
      </c>
      <c r="B970" s="4">
        <f>MAX(0,_xlfn.NORM.INV(RAND(),Model!$B$4,Model!$B$11))</f>
        <v/>
      </c>
      <c r="C970" s="12">
        <f>Model!$B$12+(Model!$B$13-Model!$B$12)*RAND()</f>
        <v/>
      </c>
      <c r="D970" s="4">
        <f>MIN(B970,Model!$B$8)</f>
        <v/>
      </c>
      <c r="E970" s="6">
        <f>D970*(Model!$B$5-C970)-Model!$B$7</f>
        <v/>
      </c>
    </row>
    <row r="971">
      <c r="A971" t="n">
        <v>970</v>
      </c>
      <c r="B971" s="4">
        <f>MAX(0,_xlfn.NORM.INV(RAND(),Model!$B$4,Model!$B$11))</f>
        <v/>
      </c>
      <c r="C971" s="12">
        <f>Model!$B$12+(Model!$B$13-Model!$B$12)*RAND()</f>
        <v/>
      </c>
      <c r="D971" s="4">
        <f>MIN(B971,Model!$B$8)</f>
        <v/>
      </c>
      <c r="E971" s="6">
        <f>D971*(Model!$B$5-C971)-Model!$B$7</f>
        <v/>
      </c>
    </row>
    <row r="972">
      <c r="A972" t="n">
        <v>971</v>
      </c>
      <c r="B972" s="4">
        <f>MAX(0,_xlfn.NORM.INV(RAND(),Model!$B$4,Model!$B$11))</f>
        <v/>
      </c>
      <c r="C972" s="12">
        <f>Model!$B$12+(Model!$B$13-Model!$B$12)*RAND()</f>
        <v/>
      </c>
      <c r="D972" s="4">
        <f>MIN(B972,Model!$B$8)</f>
        <v/>
      </c>
      <c r="E972" s="6">
        <f>D972*(Model!$B$5-C972)-Model!$B$7</f>
        <v/>
      </c>
    </row>
    <row r="973">
      <c r="A973" t="n">
        <v>972</v>
      </c>
      <c r="B973" s="4">
        <f>MAX(0,_xlfn.NORM.INV(RAND(),Model!$B$4,Model!$B$11))</f>
        <v/>
      </c>
      <c r="C973" s="12">
        <f>Model!$B$12+(Model!$B$13-Model!$B$12)*RAND()</f>
        <v/>
      </c>
      <c r="D973" s="4">
        <f>MIN(B973,Model!$B$8)</f>
        <v/>
      </c>
      <c r="E973" s="6">
        <f>D973*(Model!$B$5-C973)-Model!$B$7</f>
        <v/>
      </c>
    </row>
    <row r="974">
      <c r="A974" t="n">
        <v>973</v>
      </c>
      <c r="B974" s="4">
        <f>MAX(0,_xlfn.NORM.INV(RAND(),Model!$B$4,Model!$B$11))</f>
        <v/>
      </c>
      <c r="C974" s="12">
        <f>Model!$B$12+(Model!$B$13-Model!$B$12)*RAND()</f>
        <v/>
      </c>
      <c r="D974" s="4">
        <f>MIN(B974,Model!$B$8)</f>
        <v/>
      </c>
      <c r="E974" s="6">
        <f>D974*(Model!$B$5-C974)-Model!$B$7</f>
        <v/>
      </c>
    </row>
    <row r="975">
      <c r="A975" t="n">
        <v>974</v>
      </c>
      <c r="B975" s="4">
        <f>MAX(0,_xlfn.NORM.INV(RAND(),Model!$B$4,Model!$B$11))</f>
        <v/>
      </c>
      <c r="C975" s="12">
        <f>Model!$B$12+(Model!$B$13-Model!$B$12)*RAND()</f>
        <v/>
      </c>
      <c r="D975" s="4">
        <f>MIN(B975,Model!$B$8)</f>
        <v/>
      </c>
      <c r="E975" s="6">
        <f>D975*(Model!$B$5-C975)-Model!$B$7</f>
        <v/>
      </c>
    </row>
    <row r="976">
      <c r="A976" t="n">
        <v>975</v>
      </c>
      <c r="B976" s="4">
        <f>MAX(0,_xlfn.NORM.INV(RAND(),Model!$B$4,Model!$B$11))</f>
        <v/>
      </c>
      <c r="C976" s="12">
        <f>Model!$B$12+(Model!$B$13-Model!$B$12)*RAND()</f>
        <v/>
      </c>
      <c r="D976" s="4">
        <f>MIN(B976,Model!$B$8)</f>
        <v/>
      </c>
      <c r="E976" s="6">
        <f>D976*(Model!$B$5-C976)-Model!$B$7</f>
        <v/>
      </c>
    </row>
    <row r="977">
      <c r="A977" t="n">
        <v>976</v>
      </c>
      <c r="B977" s="4">
        <f>MAX(0,_xlfn.NORM.INV(RAND(),Model!$B$4,Model!$B$11))</f>
        <v/>
      </c>
      <c r="C977" s="12">
        <f>Model!$B$12+(Model!$B$13-Model!$B$12)*RAND()</f>
        <v/>
      </c>
      <c r="D977" s="4">
        <f>MIN(B977,Model!$B$8)</f>
        <v/>
      </c>
      <c r="E977" s="6">
        <f>D977*(Model!$B$5-C977)-Model!$B$7</f>
        <v/>
      </c>
    </row>
    <row r="978">
      <c r="A978" t="n">
        <v>977</v>
      </c>
      <c r="B978" s="4">
        <f>MAX(0,_xlfn.NORM.INV(RAND(),Model!$B$4,Model!$B$11))</f>
        <v/>
      </c>
      <c r="C978" s="12">
        <f>Model!$B$12+(Model!$B$13-Model!$B$12)*RAND()</f>
        <v/>
      </c>
      <c r="D978" s="4">
        <f>MIN(B978,Model!$B$8)</f>
        <v/>
      </c>
      <c r="E978" s="6">
        <f>D978*(Model!$B$5-C978)-Model!$B$7</f>
        <v/>
      </c>
    </row>
    <row r="979">
      <c r="A979" t="n">
        <v>978</v>
      </c>
      <c r="B979" s="4">
        <f>MAX(0,_xlfn.NORM.INV(RAND(),Model!$B$4,Model!$B$11))</f>
        <v/>
      </c>
      <c r="C979" s="12">
        <f>Model!$B$12+(Model!$B$13-Model!$B$12)*RAND()</f>
        <v/>
      </c>
      <c r="D979" s="4">
        <f>MIN(B979,Model!$B$8)</f>
        <v/>
      </c>
      <c r="E979" s="6">
        <f>D979*(Model!$B$5-C979)-Model!$B$7</f>
        <v/>
      </c>
    </row>
    <row r="980">
      <c r="A980" t="n">
        <v>979</v>
      </c>
      <c r="B980" s="4">
        <f>MAX(0,_xlfn.NORM.INV(RAND(),Model!$B$4,Model!$B$11))</f>
        <v/>
      </c>
      <c r="C980" s="12">
        <f>Model!$B$12+(Model!$B$13-Model!$B$12)*RAND()</f>
        <v/>
      </c>
      <c r="D980" s="4">
        <f>MIN(B980,Model!$B$8)</f>
        <v/>
      </c>
      <c r="E980" s="6">
        <f>D980*(Model!$B$5-C980)-Model!$B$7</f>
        <v/>
      </c>
    </row>
    <row r="981">
      <c r="A981" t="n">
        <v>980</v>
      </c>
      <c r="B981" s="4">
        <f>MAX(0,_xlfn.NORM.INV(RAND(),Model!$B$4,Model!$B$11))</f>
        <v/>
      </c>
      <c r="C981" s="12">
        <f>Model!$B$12+(Model!$B$13-Model!$B$12)*RAND()</f>
        <v/>
      </c>
      <c r="D981" s="4">
        <f>MIN(B981,Model!$B$8)</f>
        <v/>
      </c>
      <c r="E981" s="6">
        <f>D981*(Model!$B$5-C981)-Model!$B$7</f>
        <v/>
      </c>
    </row>
    <row r="982">
      <c r="A982" t="n">
        <v>981</v>
      </c>
      <c r="B982" s="4">
        <f>MAX(0,_xlfn.NORM.INV(RAND(),Model!$B$4,Model!$B$11))</f>
        <v/>
      </c>
      <c r="C982" s="12">
        <f>Model!$B$12+(Model!$B$13-Model!$B$12)*RAND()</f>
        <v/>
      </c>
      <c r="D982" s="4">
        <f>MIN(B982,Model!$B$8)</f>
        <v/>
      </c>
      <c r="E982" s="6">
        <f>D982*(Model!$B$5-C982)-Model!$B$7</f>
        <v/>
      </c>
    </row>
    <row r="983">
      <c r="A983" t="n">
        <v>982</v>
      </c>
      <c r="B983" s="4">
        <f>MAX(0,_xlfn.NORM.INV(RAND(),Model!$B$4,Model!$B$11))</f>
        <v/>
      </c>
      <c r="C983" s="12">
        <f>Model!$B$12+(Model!$B$13-Model!$B$12)*RAND()</f>
        <v/>
      </c>
      <c r="D983" s="4">
        <f>MIN(B983,Model!$B$8)</f>
        <v/>
      </c>
      <c r="E983" s="6">
        <f>D983*(Model!$B$5-C983)-Model!$B$7</f>
        <v/>
      </c>
    </row>
    <row r="984">
      <c r="A984" t="n">
        <v>983</v>
      </c>
      <c r="B984" s="4">
        <f>MAX(0,_xlfn.NORM.INV(RAND(),Model!$B$4,Model!$B$11))</f>
        <v/>
      </c>
      <c r="C984" s="12">
        <f>Model!$B$12+(Model!$B$13-Model!$B$12)*RAND()</f>
        <v/>
      </c>
      <c r="D984" s="4">
        <f>MIN(B984,Model!$B$8)</f>
        <v/>
      </c>
      <c r="E984" s="6">
        <f>D984*(Model!$B$5-C984)-Model!$B$7</f>
        <v/>
      </c>
    </row>
    <row r="985">
      <c r="A985" t="n">
        <v>984</v>
      </c>
      <c r="B985" s="4">
        <f>MAX(0,_xlfn.NORM.INV(RAND(),Model!$B$4,Model!$B$11))</f>
        <v/>
      </c>
      <c r="C985" s="12">
        <f>Model!$B$12+(Model!$B$13-Model!$B$12)*RAND()</f>
        <v/>
      </c>
      <c r="D985" s="4">
        <f>MIN(B985,Model!$B$8)</f>
        <v/>
      </c>
      <c r="E985" s="6">
        <f>D985*(Model!$B$5-C985)-Model!$B$7</f>
        <v/>
      </c>
    </row>
    <row r="986">
      <c r="A986" t="n">
        <v>985</v>
      </c>
      <c r="B986" s="4">
        <f>MAX(0,_xlfn.NORM.INV(RAND(),Model!$B$4,Model!$B$11))</f>
        <v/>
      </c>
      <c r="C986" s="12">
        <f>Model!$B$12+(Model!$B$13-Model!$B$12)*RAND()</f>
        <v/>
      </c>
      <c r="D986" s="4">
        <f>MIN(B986,Model!$B$8)</f>
        <v/>
      </c>
      <c r="E986" s="6">
        <f>D986*(Model!$B$5-C986)-Model!$B$7</f>
        <v/>
      </c>
    </row>
    <row r="987">
      <c r="A987" t="n">
        <v>986</v>
      </c>
      <c r="B987" s="4">
        <f>MAX(0,_xlfn.NORM.INV(RAND(),Model!$B$4,Model!$B$11))</f>
        <v/>
      </c>
      <c r="C987" s="12">
        <f>Model!$B$12+(Model!$B$13-Model!$B$12)*RAND()</f>
        <v/>
      </c>
      <c r="D987" s="4">
        <f>MIN(B987,Model!$B$8)</f>
        <v/>
      </c>
      <c r="E987" s="6">
        <f>D987*(Model!$B$5-C987)-Model!$B$7</f>
        <v/>
      </c>
    </row>
    <row r="988">
      <c r="A988" t="n">
        <v>987</v>
      </c>
      <c r="B988" s="4">
        <f>MAX(0,_xlfn.NORM.INV(RAND(),Model!$B$4,Model!$B$11))</f>
        <v/>
      </c>
      <c r="C988" s="12">
        <f>Model!$B$12+(Model!$B$13-Model!$B$12)*RAND()</f>
        <v/>
      </c>
      <c r="D988" s="4">
        <f>MIN(B988,Model!$B$8)</f>
        <v/>
      </c>
      <c r="E988" s="6">
        <f>D988*(Model!$B$5-C988)-Model!$B$7</f>
        <v/>
      </c>
    </row>
    <row r="989">
      <c r="A989" t="n">
        <v>988</v>
      </c>
      <c r="B989" s="4">
        <f>MAX(0,_xlfn.NORM.INV(RAND(),Model!$B$4,Model!$B$11))</f>
        <v/>
      </c>
      <c r="C989" s="12">
        <f>Model!$B$12+(Model!$B$13-Model!$B$12)*RAND()</f>
        <v/>
      </c>
      <c r="D989" s="4">
        <f>MIN(B989,Model!$B$8)</f>
        <v/>
      </c>
      <c r="E989" s="6">
        <f>D989*(Model!$B$5-C989)-Model!$B$7</f>
        <v/>
      </c>
    </row>
    <row r="990">
      <c r="A990" t="n">
        <v>989</v>
      </c>
      <c r="B990" s="4">
        <f>MAX(0,_xlfn.NORM.INV(RAND(),Model!$B$4,Model!$B$11))</f>
        <v/>
      </c>
      <c r="C990" s="12">
        <f>Model!$B$12+(Model!$B$13-Model!$B$12)*RAND()</f>
        <v/>
      </c>
      <c r="D990" s="4">
        <f>MIN(B990,Model!$B$8)</f>
        <v/>
      </c>
      <c r="E990" s="6">
        <f>D990*(Model!$B$5-C990)-Model!$B$7</f>
        <v/>
      </c>
    </row>
    <row r="991">
      <c r="A991" t="n">
        <v>990</v>
      </c>
      <c r="B991" s="4">
        <f>MAX(0,_xlfn.NORM.INV(RAND(),Model!$B$4,Model!$B$11))</f>
        <v/>
      </c>
      <c r="C991" s="12">
        <f>Model!$B$12+(Model!$B$13-Model!$B$12)*RAND()</f>
        <v/>
      </c>
      <c r="D991" s="4">
        <f>MIN(B991,Model!$B$8)</f>
        <v/>
      </c>
      <c r="E991" s="6">
        <f>D991*(Model!$B$5-C991)-Model!$B$7</f>
        <v/>
      </c>
    </row>
    <row r="992">
      <c r="A992" t="n">
        <v>991</v>
      </c>
      <c r="B992" s="4">
        <f>MAX(0,_xlfn.NORM.INV(RAND(),Model!$B$4,Model!$B$11))</f>
        <v/>
      </c>
      <c r="C992" s="12">
        <f>Model!$B$12+(Model!$B$13-Model!$B$12)*RAND()</f>
        <v/>
      </c>
      <c r="D992" s="4">
        <f>MIN(B992,Model!$B$8)</f>
        <v/>
      </c>
      <c r="E992" s="6">
        <f>D992*(Model!$B$5-C992)-Model!$B$7</f>
        <v/>
      </c>
    </row>
    <row r="993">
      <c r="A993" t="n">
        <v>992</v>
      </c>
      <c r="B993" s="4">
        <f>MAX(0,_xlfn.NORM.INV(RAND(),Model!$B$4,Model!$B$11))</f>
        <v/>
      </c>
      <c r="C993" s="12">
        <f>Model!$B$12+(Model!$B$13-Model!$B$12)*RAND()</f>
        <v/>
      </c>
      <c r="D993" s="4">
        <f>MIN(B993,Model!$B$8)</f>
        <v/>
      </c>
      <c r="E993" s="6">
        <f>D993*(Model!$B$5-C993)-Model!$B$7</f>
        <v/>
      </c>
    </row>
    <row r="994">
      <c r="A994" t="n">
        <v>993</v>
      </c>
      <c r="B994" s="4">
        <f>MAX(0,_xlfn.NORM.INV(RAND(),Model!$B$4,Model!$B$11))</f>
        <v/>
      </c>
      <c r="C994" s="12">
        <f>Model!$B$12+(Model!$B$13-Model!$B$12)*RAND()</f>
        <v/>
      </c>
      <c r="D994" s="4">
        <f>MIN(B994,Model!$B$8)</f>
        <v/>
      </c>
      <c r="E994" s="6">
        <f>D994*(Model!$B$5-C994)-Model!$B$7</f>
        <v/>
      </c>
    </row>
    <row r="995">
      <c r="A995" t="n">
        <v>994</v>
      </c>
      <c r="B995" s="4">
        <f>MAX(0,_xlfn.NORM.INV(RAND(),Model!$B$4,Model!$B$11))</f>
        <v/>
      </c>
      <c r="C995" s="12">
        <f>Model!$B$12+(Model!$B$13-Model!$B$12)*RAND()</f>
        <v/>
      </c>
      <c r="D995" s="4">
        <f>MIN(B995,Model!$B$8)</f>
        <v/>
      </c>
      <c r="E995" s="6">
        <f>D995*(Model!$B$5-C995)-Model!$B$7</f>
        <v/>
      </c>
    </row>
    <row r="996">
      <c r="A996" t="n">
        <v>995</v>
      </c>
      <c r="B996" s="4">
        <f>MAX(0,_xlfn.NORM.INV(RAND(),Model!$B$4,Model!$B$11))</f>
        <v/>
      </c>
      <c r="C996" s="12">
        <f>Model!$B$12+(Model!$B$13-Model!$B$12)*RAND()</f>
        <v/>
      </c>
      <c r="D996" s="4">
        <f>MIN(B996,Model!$B$8)</f>
        <v/>
      </c>
      <c r="E996" s="6">
        <f>D996*(Model!$B$5-C996)-Model!$B$7</f>
        <v/>
      </c>
    </row>
    <row r="997">
      <c r="A997" t="n">
        <v>996</v>
      </c>
      <c r="B997" s="4">
        <f>MAX(0,_xlfn.NORM.INV(RAND(),Model!$B$4,Model!$B$11))</f>
        <v/>
      </c>
      <c r="C997" s="12">
        <f>Model!$B$12+(Model!$B$13-Model!$B$12)*RAND()</f>
        <v/>
      </c>
      <c r="D997" s="4">
        <f>MIN(B997,Model!$B$8)</f>
        <v/>
      </c>
      <c r="E997" s="6">
        <f>D997*(Model!$B$5-C997)-Model!$B$7</f>
        <v/>
      </c>
    </row>
    <row r="998">
      <c r="A998" t="n">
        <v>997</v>
      </c>
      <c r="B998" s="4">
        <f>MAX(0,_xlfn.NORM.INV(RAND(),Model!$B$4,Model!$B$11))</f>
        <v/>
      </c>
      <c r="C998" s="12">
        <f>Model!$B$12+(Model!$B$13-Model!$B$12)*RAND()</f>
        <v/>
      </c>
      <c r="D998" s="4">
        <f>MIN(B998,Model!$B$8)</f>
        <v/>
      </c>
      <c r="E998" s="6">
        <f>D998*(Model!$B$5-C998)-Model!$B$7</f>
        <v/>
      </c>
    </row>
    <row r="999">
      <c r="A999" t="n">
        <v>998</v>
      </c>
      <c r="B999" s="4">
        <f>MAX(0,_xlfn.NORM.INV(RAND(),Model!$B$4,Model!$B$11))</f>
        <v/>
      </c>
      <c r="C999" s="12">
        <f>Model!$B$12+(Model!$B$13-Model!$B$12)*RAND()</f>
        <v/>
      </c>
      <c r="D999" s="4">
        <f>MIN(B999,Model!$B$8)</f>
        <v/>
      </c>
      <c r="E999" s="6">
        <f>D999*(Model!$B$5-C999)-Model!$B$7</f>
        <v/>
      </c>
    </row>
    <row r="1000">
      <c r="A1000" t="n">
        <v>999</v>
      </c>
      <c r="B1000" s="4">
        <f>MAX(0,_xlfn.NORM.INV(RAND(),Model!$B$4,Model!$B$11))</f>
        <v/>
      </c>
      <c r="C1000" s="12">
        <f>Model!$B$12+(Model!$B$13-Model!$B$12)*RAND()</f>
        <v/>
      </c>
      <c r="D1000" s="4">
        <f>MIN(B1000,Model!$B$8)</f>
        <v/>
      </c>
      <c r="E1000" s="6">
        <f>D1000*(Model!$B$5-C1000)-Model!$B$7</f>
        <v/>
      </c>
    </row>
    <row r="1001">
      <c r="A1001" t="n">
        <v>1000</v>
      </c>
      <c r="B1001" s="4">
        <f>MAX(0,_xlfn.NORM.INV(RAND(),Model!$B$4,Model!$B$11))</f>
        <v/>
      </c>
      <c r="C1001" s="12">
        <f>Model!$B$12+(Model!$B$13-Model!$B$12)*RAND()</f>
        <v/>
      </c>
      <c r="D1001" s="4">
        <f>MIN(B1001,Model!$B$8)</f>
        <v/>
      </c>
      <c r="E1001" s="6">
        <f>D1001*(Model!$B$5-C1001)-Model!$B$7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 300 China classroom</dc:creator>
  <dcterms:created xsi:type="dcterms:W3CDTF">2026-10-16T00:00:00Z</dcterms:created>
  <dcterms:modified xsi:type="dcterms:W3CDTF">2026-10-16T00:00:00Z</dcterms:modified>
</cp:coreProperties>
</file>